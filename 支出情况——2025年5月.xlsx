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4967B6CA-3734-4DB4-974D-85F40C58DC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支出明细" sheetId="1" r:id="rId1"/>
    <sheet name="项目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5" i="1"/>
  <c r="T5" i="1" s="1"/>
  <c r="D6" i="1"/>
  <c r="T6" i="1" s="1"/>
  <c r="D7" i="1"/>
  <c r="T7" i="1" s="1"/>
  <c r="D8" i="1"/>
  <c r="T8" i="1" s="1"/>
  <c r="D9" i="1"/>
  <c r="D10" i="1"/>
  <c r="D11" i="1"/>
  <c r="D12" i="1"/>
  <c r="T12" i="1" s="1"/>
  <c r="D13" i="1"/>
  <c r="T13" i="1" s="1"/>
  <c r="D14" i="1"/>
  <c r="D15" i="1"/>
  <c r="T15" i="1" s="1"/>
  <c r="D16" i="1"/>
  <c r="T16" i="1" s="1"/>
  <c r="D17" i="1"/>
  <c r="T17" i="1" s="1"/>
  <c r="D18" i="1"/>
  <c r="T18" i="1" s="1"/>
  <c r="D19" i="1"/>
  <c r="D20" i="1"/>
  <c r="T20" i="1" s="1"/>
  <c r="D21" i="1"/>
  <c r="T21" i="1" s="1"/>
  <c r="D22" i="1"/>
  <c r="T23" i="1"/>
  <c r="D24" i="1"/>
  <c r="T24" i="1" s="1"/>
  <c r="D25" i="1"/>
  <c r="T25" i="1" s="1"/>
  <c r="D26" i="1"/>
  <c r="T26" i="1" s="1"/>
  <c r="D27" i="1"/>
  <c r="T27" i="1" s="1"/>
  <c r="D28" i="1"/>
  <c r="T28" i="1" s="1"/>
  <c r="D29" i="1"/>
  <c r="T29" i="1" s="1"/>
  <c r="D30" i="1"/>
  <c r="D31" i="1"/>
  <c r="D32" i="1"/>
  <c r="D33" i="1"/>
  <c r="D34" i="1"/>
  <c r="D4" i="1"/>
  <c r="S35" i="1"/>
  <c r="C56" i="1" s="1"/>
  <c r="F45" i="1" s="1"/>
  <c r="R35" i="1"/>
  <c r="C55" i="1" s="1"/>
  <c r="Q35" i="1"/>
  <c r="C54" i="1" s="1"/>
  <c r="P35" i="1"/>
  <c r="C53" i="1" s="1"/>
  <c r="O35" i="1"/>
  <c r="C52" i="1" s="1"/>
  <c r="N35" i="1"/>
  <c r="C51" i="1" s="1"/>
  <c r="M35" i="1"/>
  <c r="C50" i="1" s="1"/>
  <c r="L35" i="1"/>
  <c r="C49" i="1" s="1"/>
  <c r="K35" i="1"/>
  <c r="J35" i="1"/>
  <c r="C47" i="1" s="1"/>
  <c r="I35" i="1"/>
  <c r="C46" i="1" s="1"/>
  <c r="H35" i="1"/>
  <c r="C45" i="1" s="1"/>
  <c r="E35" i="1"/>
  <c r="F35" i="1"/>
  <c r="C43" i="1" s="1"/>
  <c r="G35" i="1"/>
  <c r="C44" i="1" s="1"/>
  <c r="T4" i="1"/>
  <c r="T14" i="1"/>
  <c r="T19" i="1"/>
  <c r="T22" i="1"/>
  <c r="T30" i="1"/>
  <c r="T31" i="1"/>
  <c r="T34" i="1"/>
  <c r="T33" i="1"/>
  <c r="T32" i="1"/>
  <c r="T11" i="1"/>
  <c r="T10" i="1"/>
  <c r="T9" i="1"/>
  <c r="D35" i="1" l="1"/>
  <c r="T35" i="1"/>
  <c r="E36" i="1"/>
  <c r="K36" i="1"/>
  <c r="M36" i="1"/>
  <c r="S36" i="1"/>
  <c r="F44" i="1"/>
  <c r="C48" i="1"/>
  <c r="F43" i="1" s="1"/>
  <c r="C42" i="1"/>
  <c r="F42" i="1" s="1"/>
  <c r="D36" i="1" l="1"/>
  <c r="T36" i="1" s="1"/>
  <c r="C41" i="1"/>
  <c r="F41" i="1" s="1"/>
</calcChain>
</file>

<file path=xl/sharedStrings.xml><?xml version="1.0" encoding="utf-8"?>
<sst xmlns="http://schemas.openxmlformats.org/spreadsheetml/2006/main" count="253" uniqueCount="131">
  <si>
    <t xml:space="preserve">     项目
日期</t>
  </si>
  <si>
    <t>住房</t>
  </si>
  <si>
    <t>餐饮</t>
  </si>
  <si>
    <t>交通</t>
  </si>
  <si>
    <t>购物</t>
  </si>
  <si>
    <t>医疗</t>
  </si>
  <si>
    <t>合计</t>
  </si>
  <si>
    <t>电费</t>
  </si>
  <si>
    <t>三餐</t>
  </si>
  <si>
    <t>水果</t>
  </si>
  <si>
    <t>零食</t>
  </si>
  <si>
    <t>加餐</t>
  </si>
  <si>
    <t>地铁</t>
  </si>
  <si>
    <t>共享(电)单车</t>
  </si>
  <si>
    <t>日常用品</t>
  </si>
  <si>
    <t>书籍</t>
  </si>
  <si>
    <t>电子产品</t>
  </si>
  <si>
    <t>衣物</t>
  </si>
  <si>
    <t>杂物</t>
  </si>
  <si>
    <t>服务</t>
  </si>
  <si>
    <t>前一天早(度)</t>
  </si>
  <si>
    <t>后一天早(度)</t>
  </si>
  <si>
    <t>总(元)</t>
  </si>
  <si>
    <t>早</t>
  </si>
  <si>
    <t>中</t>
  </si>
  <si>
    <t>晚</t>
  </si>
  <si>
    <t>注：字体部分正体亲属卡，斜体下划线零钱；字色部分绿色流入，红色流出</t>
  </si>
  <si>
    <t>医保/体检/看病</t>
  </si>
  <si>
    <t>小项统计</t>
  </si>
  <si>
    <t>大项统计</t>
  </si>
  <si>
    <t>项目</t>
  </si>
  <si>
    <t>类别</t>
  </si>
  <si>
    <t>费用</t>
  </si>
  <si>
    <t>早餐</t>
  </si>
  <si>
    <t>中餐</t>
  </si>
  <si>
    <t>晚餐</t>
  </si>
  <si>
    <t>共享(电)动车</t>
  </si>
  <si>
    <t>复制时候选择选择性粘贴，勾选转置和数值</t>
  </si>
  <si>
    <t>(共享)(电)单车</t>
  </si>
  <si>
    <t>医保</t>
  </si>
  <si>
    <t>早(度)</t>
  </si>
  <si>
    <t>晚(度)</t>
  </si>
  <si>
    <t>抄表</t>
  </si>
  <si>
    <t>医保/体检/看病/药物</t>
  </si>
  <si>
    <t>老乡鸡 肉饼蒸蛋+蒜苔炒豆腐条</t>
  </si>
  <si>
    <t>苏果 黑人牙膏+两条洗脸巾
欧莱雅洗面奶</t>
  </si>
  <si>
    <t>烤肉肠</t>
  </si>
  <si>
    <t>永和大王 卤肉猪脚饭</t>
  </si>
  <si>
    <t>茶颜悦色 幽兰拿铁*2</t>
  </si>
  <si>
    <t>经天路-新街口(6)
鸡鸣寺-常府街(2) 
三山街-经天路(6)</t>
  </si>
  <si>
    <t>晏三好 半笼豆沙包+南瓜粥</t>
  </si>
  <si>
    <t>中山陵讲解票</t>
  </si>
  <si>
    <t>南宁老友粉(珠江路)</t>
  </si>
  <si>
    <t>今牛潮汕牛肉馆
牛肉丸粿条+牛杂</t>
  </si>
  <si>
    <t>茶兀 (宁海中学北门店 5)
棠真真 红豆鲜奶茶*2 22</t>
  </si>
  <si>
    <t>经天路-孝陵卫(5)
苜蓿园-新街口(3)
云南路-经天路(6)</t>
  </si>
  <si>
    <t>晏三好 半笼肉包</t>
  </si>
  <si>
    <t>回味鸭血粉丝汤 莫愁湖店</t>
  </si>
  <si>
    <t>老乡鸡 小炒肉+辣椒炒豆腐皮</t>
  </si>
  <si>
    <t>经天路-三山街(6)
中华门-莫愁湖(3)
莫愁湖-南京南-经天路(6)</t>
  </si>
  <si>
    <t>高科荣境充电站1</t>
  </si>
  <si>
    <t>霸碗盖码饭 小炒黄牛肉</t>
  </si>
  <si>
    <t>十一食堂 蒜苔炒肉+红烧肉+瘦肉片</t>
  </si>
  <si>
    <t>西安面馆 青椒肉丝盖浇饭</t>
  </si>
  <si>
    <t>浦东美术馆</t>
  </si>
  <si>
    <t>董家面食 青椒豆腐干面</t>
  </si>
  <si>
    <t>津味上海 
乳酪味奶球+咸蛋黄面包*2</t>
  </si>
  <si>
    <t>十一食堂 肥牛盖浇饭</t>
  </si>
  <si>
    <t>相遇川湘菜 小炒黄牛肉</t>
  </si>
  <si>
    <t>封记砂锅 纯素凉皮</t>
  </si>
  <si>
    <t>五食堂 学子套餐鸭腿饭</t>
  </si>
  <si>
    <t>农夫山泉6L*2</t>
  </si>
  <si>
    <t>十一食堂 肉沫盖浇饭</t>
  </si>
  <si>
    <t>老乡鸡 糖醋排骨+莴笋炒鸡蛋</t>
  </si>
  <si>
    <t>十一食堂 宫保鸡丁+芙蓉蛋</t>
  </si>
  <si>
    <r>
      <rPr>
        <sz val="9"/>
        <color theme="1"/>
        <rFont val="Times New Roman"/>
        <family val="1"/>
      </rPr>
      <t>bilibili</t>
    </r>
    <r>
      <rPr>
        <sz val="9"/>
        <color theme="1"/>
        <rFont val="宋体"/>
        <charset val="134"/>
      </rPr>
      <t>大会员</t>
    </r>
  </si>
  <si>
    <t>西安面馆 卤肉面</t>
  </si>
  <si>
    <t>十一食堂 辣椒炒咕噜肉盖浇饭</t>
  </si>
  <si>
    <t>晏三好 一笼肉包(10)
饼来酱挡酱香饼 豆浆(2)</t>
  </si>
  <si>
    <t>南大仙林(2) 上海地铁一日票(18)</t>
  </si>
  <si>
    <t>好友记 狂飙猪脚面</t>
  </si>
  <si>
    <t>连杏双皮奶(静安寺店)</t>
  </si>
  <si>
    <t>王春春鸡汤饭</t>
  </si>
  <si>
    <t>滴滴南大仙林-南京南(58.2)
静安寺香花券(门票50)
都市观光一日票(60)</t>
  </si>
  <si>
    <t>上海地铁一日票(18)</t>
  </si>
  <si>
    <t>百穆汇兰州牛肉面 
大世界地铁站附近</t>
  </si>
  <si>
    <t>南京东路小吃城(旺喜楼) 凉皮</t>
  </si>
  <si>
    <t>南京东路小吃城(旺喜楼) 怡宝</t>
  </si>
  <si>
    <t>妻乐莹日本进口内衣裤皂</t>
  </si>
  <si>
    <t>外滩山町面屋 豚骨面+凉拌鱼皮</t>
  </si>
  <si>
    <r>
      <t>河仙(世纪大道店)
香茅鸡排米饭(48)+椰子黑糯米(</t>
    </r>
    <r>
      <rPr>
        <sz val="9"/>
        <color theme="4"/>
        <rFont val="宋体"/>
        <charset val="134"/>
      </rPr>
      <t>12</t>
    </r>
    <r>
      <rPr>
        <sz val="9"/>
        <color theme="1"/>
        <rFont val="宋体"/>
        <charset val="134"/>
      </rPr>
      <t>)</t>
    </r>
  </si>
  <si>
    <t>耿大叔 小炒黄牛肉</t>
  </si>
  <si>
    <t>上海火车站 桃李纯蛋糕</t>
  </si>
  <si>
    <t>南京南-南大仙林校区</t>
  </si>
  <si>
    <t>十一食堂 辣椒炒鸡肉</t>
  </si>
  <si>
    <t>二斤皮凉皮(南京万达茂)</t>
  </si>
  <si>
    <t>老乡鸡 小炒鸡丁+菜苔</t>
  </si>
  <si>
    <t>十一食堂 猪脚盖浇饭</t>
  </si>
  <si>
    <t>欧迪芬袜子(33.1) 才子衬衫(132)
回力休闲鞋(93)</t>
  </si>
  <si>
    <t>六食堂 猪排饭</t>
  </si>
  <si>
    <t>十一食堂 鸡肉盖浇饭</t>
  </si>
  <si>
    <r>
      <rPr>
        <sz val="9"/>
        <color theme="1"/>
        <rFont val="Times New Roman"/>
        <family val="1"/>
      </rPr>
      <t>Macbook air M4</t>
    </r>
    <r>
      <rPr>
        <sz val="9"/>
        <color theme="1"/>
        <rFont val="宋体"/>
        <charset val="134"/>
      </rPr>
      <t>(</t>
    </r>
    <r>
      <rPr>
        <sz val="9"/>
        <color theme="1"/>
        <rFont val="Times New Roman"/>
        <family val="1"/>
      </rPr>
      <t>10+10</t>
    </r>
    <r>
      <rPr>
        <sz val="9"/>
        <color theme="1"/>
        <rFont val="宋体"/>
        <charset val="134"/>
      </rPr>
      <t xml:space="preserve">核) </t>
    </r>
    <r>
      <rPr>
        <sz val="9"/>
        <color theme="1"/>
        <rFont val="Times New Roman"/>
        <family val="1"/>
      </rPr>
      <t>256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Times New Roman"/>
        <family val="1"/>
      </rPr>
      <t>Bkayp</t>
    </r>
    <r>
      <rPr>
        <sz val="9"/>
        <color theme="1"/>
        <rFont val="宋体"/>
        <charset val="134"/>
      </rPr>
      <t xml:space="preserve">鼠标 </t>
    </r>
  </si>
  <si>
    <t>绿联电脑包</t>
  </si>
  <si>
    <t>极川苹果键盘膜</t>
  </si>
  <si>
    <t>老乡鸡 金汤酸菜鱼+莴笋炒鸡蛋</t>
  </si>
  <si>
    <t>十一食堂 蒜苔炒鸡肉</t>
  </si>
  <si>
    <r>
      <t xml:space="preserve">雨航雨衣（41.4）
</t>
    </r>
    <r>
      <rPr>
        <sz val="9"/>
        <color theme="1"/>
        <rFont val="Times New Roman"/>
        <family val="1"/>
      </rPr>
      <t>NEVA</t>
    </r>
    <r>
      <rPr>
        <sz val="9"/>
        <color theme="1"/>
        <rFont val="宋体"/>
        <charset val="134"/>
      </rPr>
      <t>头盔（59.9）</t>
    </r>
  </si>
  <si>
    <t>西安面馆 臊子面</t>
  </si>
  <si>
    <t>津味上海 
乳酪味奶球+咸蛋黄面包
椰丝牛奶小方</t>
  </si>
  <si>
    <t>嘉速Macbook膜(29.2) 毕亚兹屏幕膜(33.2)
绿联拓展坞(126.1)</t>
  </si>
  <si>
    <t>老乡鸡 黄焖鸡+青菜</t>
  </si>
  <si>
    <t>Zotero 2G一年</t>
  </si>
  <si>
    <t>五食堂 酱大骨饭</t>
  </si>
  <si>
    <t>苏兰客 青椒牛肉盖浇饭</t>
  </si>
  <si>
    <t>Typora 终身订阅</t>
  </si>
  <si>
    <t>五食堂 无骨烤鱼饭(自己和陌生阿姨)</t>
  </si>
  <si>
    <t>十一食堂 狮子头+蒸鱼</t>
  </si>
  <si>
    <t>鲜芋仙 芋圆4号</t>
  </si>
  <si>
    <t>晏三好 半笼肉包+南瓜粥</t>
  </si>
  <si>
    <t>NASA防晒服</t>
  </si>
  <si>
    <t>老香鸡 金汤酸菜鱼+芹菜炒豆腐丝</t>
  </si>
  <si>
    <t>优剪 万达茂</t>
  </si>
  <si>
    <t>十一食堂 鸡杂盖浇饭</t>
  </si>
  <si>
    <t>五食堂 羊肉面</t>
  </si>
  <si>
    <r>
      <t>夹片墨镜(53.9) 太阳帽(</t>
    </r>
    <r>
      <rPr>
        <sz val="9"/>
        <color theme="4"/>
        <rFont val="宋体"/>
        <charset val="134"/>
      </rPr>
      <t>35</t>
    </r>
    <r>
      <rPr>
        <sz val="9"/>
        <color theme="1"/>
        <rFont val="宋体"/>
        <charset val="134"/>
      </rPr>
      <t>)</t>
    </r>
  </si>
  <si>
    <t>十一食堂 鸡肉蒜苔盖浇饭</t>
  </si>
  <si>
    <t>十二食堂 瓦香鸡</t>
  </si>
  <si>
    <t>十一食堂 蒜苔鸭肉盖浇饭</t>
  </si>
  <si>
    <t>南京南-上海(G7259)</t>
  </si>
  <si>
    <t>南京南-杭州东(D3295 95)
杭州东-南京南(G1504 93)</t>
  </si>
  <si>
    <t>陕老顺 凉皮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</si>
</sst>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4"/>
      <name val="Times New Roman"/>
      <family val="1"/>
    </font>
    <font>
      <sz val="11"/>
      <color theme="4" tint="-0.249977111117893"/>
      <name val="Times New Roman"/>
      <family val="1"/>
    </font>
    <font>
      <i/>
      <u/>
      <sz val="11"/>
      <color theme="1"/>
      <name val="Times New Roman"/>
      <family val="1"/>
    </font>
    <font>
      <sz val="10"/>
      <color theme="1"/>
      <name val="黑体"/>
      <family val="3"/>
      <charset val="134"/>
    </font>
    <font>
      <sz val="9"/>
      <color theme="1"/>
      <name val="宋体"/>
      <charset val="134"/>
    </font>
    <font>
      <sz val="9"/>
      <color theme="1"/>
      <name val="Calibri"/>
      <family val="2"/>
      <scheme val="minor"/>
    </font>
    <font>
      <sz val="11"/>
      <name val="Times New Roman"/>
      <family val="1"/>
    </font>
    <font>
      <sz val="9"/>
      <color theme="1"/>
      <name val="Times New Roman"/>
      <family val="1"/>
    </font>
    <font>
      <sz val="9"/>
      <color theme="1"/>
      <name val="宋体"/>
      <family val="1"/>
      <charset val="134"/>
    </font>
    <font>
      <sz val="9"/>
      <color theme="4"/>
      <name val="宋体"/>
      <charset val="134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7EDCE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3" fillId="2" borderId="5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/>
    <xf numFmtId="2" fontId="5" fillId="2" borderId="5" xfId="0" applyNumberFormat="1" applyFont="1" applyFill="1" applyBorder="1" applyAlignment="1"/>
    <xf numFmtId="0" fontId="0" fillId="2" borderId="5" xfId="0" applyFill="1" applyBorder="1" applyAlignment="1"/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11" fillId="2" borderId="5" xfId="0" applyFont="1" applyFill="1" applyBorder="1" applyAlignment="1"/>
    <xf numFmtId="164" fontId="5" fillId="2" borderId="5" xfId="0" applyNumberFormat="1" applyFont="1" applyFill="1" applyBorder="1" applyAlignment="1">
      <alignment horizontal="center" vertical="center"/>
    </xf>
    <xf numFmtId="2" fontId="12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/>
    </xf>
    <xf numFmtId="2" fontId="16" fillId="2" borderId="5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2-4F02-8547-2757CE5828D2}"/>
              </c:ext>
            </c:extLst>
          </c:dPt>
          <c:dPt>
            <c:idx val="1"/>
            <c:bubble3D val="0"/>
            <c:spPr>
              <a:solidFill>
                <a:schemeClr val="accent6">
                  <a:tint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2-4F02-8547-2757CE5828D2}"/>
              </c:ext>
            </c:extLst>
          </c:dPt>
          <c:dPt>
            <c:idx val="2"/>
            <c:bubble3D val="0"/>
            <c:spPr>
              <a:solidFill>
                <a:schemeClr val="accent6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2-4F02-8547-2757CE5828D2}"/>
              </c:ext>
            </c:extLst>
          </c:dPt>
          <c:dPt>
            <c:idx val="3"/>
            <c:bubble3D val="0"/>
            <c:spPr>
              <a:solidFill>
                <a:schemeClr val="accent6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2-4F02-8547-2757CE5828D2}"/>
              </c:ext>
            </c:extLst>
          </c:dPt>
          <c:dPt>
            <c:idx val="4"/>
            <c:bubble3D val="0"/>
            <c:spPr>
              <a:solidFill>
                <a:schemeClr val="accent6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12-4F02-8547-2757CE5828D2}"/>
              </c:ext>
            </c:extLst>
          </c:dPt>
          <c:dPt>
            <c:idx val="5"/>
            <c:bubble3D val="0"/>
            <c:spPr>
              <a:solidFill>
                <a:schemeClr val="accent6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12-4F02-8547-2757CE5828D2}"/>
              </c:ext>
            </c:extLst>
          </c:dPt>
          <c:dPt>
            <c:idx val="6"/>
            <c:bubble3D val="0"/>
            <c:spPr>
              <a:solidFill>
                <a:schemeClr val="accent6">
                  <a:tint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12-4F02-8547-2757CE5828D2}"/>
              </c:ext>
            </c:extLst>
          </c:dPt>
          <c:dPt>
            <c:idx val="7"/>
            <c:bubble3D val="0"/>
            <c:spPr>
              <a:solidFill>
                <a:schemeClr val="accent6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12-4F02-8547-2757CE5828D2}"/>
              </c:ext>
            </c:extLst>
          </c:dPt>
          <c:dPt>
            <c:idx val="8"/>
            <c:bubble3D val="0"/>
            <c:spPr>
              <a:solidFill>
                <a:schemeClr val="accent6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12-4F02-8547-2757CE5828D2}"/>
              </c:ext>
            </c:extLst>
          </c:dPt>
          <c:dPt>
            <c:idx val="9"/>
            <c:bubble3D val="0"/>
            <c:spPr>
              <a:solidFill>
                <a:schemeClr val="accent6">
                  <a:shade val="8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12-4F02-8547-2757CE5828D2}"/>
              </c:ext>
            </c:extLst>
          </c:dPt>
          <c:dPt>
            <c:idx val="10"/>
            <c:bubble3D val="0"/>
            <c:spPr>
              <a:solidFill>
                <a:schemeClr val="accent6">
                  <a:shade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12-4F02-8547-2757CE5828D2}"/>
              </c:ext>
            </c:extLst>
          </c:dPt>
          <c:dPt>
            <c:idx val="11"/>
            <c:bubble3D val="0"/>
            <c:spPr>
              <a:solidFill>
                <a:schemeClr val="accent6">
                  <a:shade val="7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E12-4F02-8547-2757CE5828D2}"/>
              </c:ext>
            </c:extLst>
          </c:dPt>
          <c:dPt>
            <c:idx val="12"/>
            <c:bubble3D val="0"/>
            <c:spPr>
              <a:solidFill>
                <a:schemeClr val="accent6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E12-4F02-8547-2757CE5828D2}"/>
              </c:ext>
            </c:extLst>
          </c:dPt>
          <c:dPt>
            <c:idx val="13"/>
            <c:bubble3D val="0"/>
            <c:spPr>
              <a:solidFill>
                <a:schemeClr val="accent6">
                  <a:shade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E12-4F02-8547-2757CE5828D2}"/>
              </c:ext>
            </c:extLst>
          </c:dPt>
          <c:dPt>
            <c:idx val="14"/>
            <c:bubble3D val="0"/>
            <c:spPr>
              <a:solidFill>
                <a:schemeClr val="accent6">
                  <a:shade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E12-4F02-8547-2757CE5828D2}"/>
              </c:ext>
            </c:extLst>
          </c:dPt>
          <c:dPt>
            <c:idx val="15"/>
            <c:bubble3D val="0"/>
            <c:spPr>
              <a:solidFill>
                <a:schemeClr val="accent6">
                  <a:shade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E12-4F02-8547-2757CE5828D2}"/>
              </c:ext>
            </c:extLst>
          </c:dPt>
          <c:dLbls>
            <c:dLbl>
              <c:idx val="0"/>
              <c:layout>
                <c:manualLayout>
                  <c:x val="-3.3048459122970351E-2"/>
                  <c:y val="-2.1461769501454536E-2"/>
                </c:manualLayout>
              </c:layout>
              <c:tx>
                <c:rich>
                  <a:bodyPr/>
                  <a:lstStyle/>
                  <a:p>
                    <a:fld id="{6827DA04-EF45-4875-8476-71867B5C3F00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6B627F5-1B57-4DB4-8513-D4A54C3AC446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12-4F02-8547-2757CE5828D2}"/>
                </c:ext>
              </c:extLst>
            </c:dLbl>
            <c:dLbl>
              <c:idx val="1"/>
              <c:layout>
                <c:manualLayout>
                  <c:x val="1.3837123065027693E-2"/>
                  <c:y val="4.9611917113941461E-3"/>
                </c:manualLayout>
              </c:layout>
              <c:tx>
                <c:rich>
                  <a:bodyPr/>
                  <a:lstStyle/>
                  <a:p>
                    <a:fld id="{79B19EAF-08DD-433A-A41B-8E933DA39C9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89633CB5-A842-4C51-B253-FE8816D5B7AA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12-4F02-8547-2757CE5828D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8848BE-DFE8-4120-83CB-B3ECCC710E4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7689EDF3-4B6C-49D4-9231-BF7819D03F3B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12-4F02-8547-2757CE5828D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A73ECD-961F-4DF6-A6B5-EBE77F703669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439338F8-C7CB-4774-A54B-743BE0EC2B6E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E12-4F02-8547-2757CE5828D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C3C5E7-5927-4AF5-A3EE-A020BCAD608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E24D74CA-C1C1-4A9C-85ED-568C720A04D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12-4F02-8547-2757CE5828D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2981054-BC51-4A0F-B6E2-AE93F9FEAF22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6EE3A448-EC00-4CB4-9A58-03EC9958DEFE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E12-4F02-8547-2757CE5828D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902BD73-48F0-45A5-ACED-ADEF4FC98941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BDFBA09B-3B54-417C-AC54-C3CD60F61440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12-4F02-8547-2757CE5828D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BEA46C-7DF6-4936-83E0-AA243EE8AB14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89D10929-A134-4188-855E-13A0A455A254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E12-4F02-8547-2757CE5828D2}"/>
                </c:ext>
              </c:extLst>
            </c:dLbl>
            <c:dLbl>
              <c:idx val="8"/>
              <c:layout>
                <c:manualLayout>
                  <c:x val="6.4531898442554358E-2"/>
                  <c:y val="-7.4728863666056008E-2"/>
                </c:manualLayout>
              </c:layout>
              <c:tx>
                <c:rich>
                  <a:bodyPr/>
                  <a:lstStyle/>
                  <a:p>
                    <a:fld id="{1010214A-3A1C-457B-9E8E-6DAD24B3CB5A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A8CCD70B-C0A4-49A9-9980-C867B7FAC6A8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E12-4F02-8547-2757CE5828D2}"/>
                </c:ext>
              </c:extLst>
            </c:dLbl>
            <c:dLbl>
              <c:idx val="9"/>
              <c:layout>
                <c:manualLayout>
                  <c:x val="8.4965442696416454E-2"/>
                  <c:y val="-1.5016470221044331E-3"/>
                </c:manualLayout>
              </c:layout>
              <c:tx>
                <c:rich>
                  <a:bodyPr/>
                  <a:lstStyle/>
                  <a:p>
                    <a:fld id="{7189FF8E-3C0B-457C-BB4D-66040565CD64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14DDEA2-ECEC-4901-92AE-B18C4A5BF01F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E12-4F02-8547-2757CE5828D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3D0943-9F0C-40DB-83F9-496FA851F65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71C92EC9-A7DD-4E8A-9296-5D3341545E6F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E12-4F02-8547-2757CE5828D2}"/>
                </c:ext>
              </c:extLst>
            </c:dLbl>
            <c:dLbl>
              <c:idx val="11"/>
              <c:layout>
                <c:manualLayout>
                  <c:x val="-2.4365739352721176E-2"/>
                  <c:y val="4.57344612251037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BB6C0D-21CD-4C3C-8A31-4B497D33AF87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zh-CN" altLang="en-US" baseline="0"/>
                  </a:p>
                  <a:p>
                    <a:pPr>
                      <a:defRPr/>
                    </a:pPr>
                    <a:fld id="{0C4B70C4-39FD-4336-887B-8A9FB4A3CD01}" type="PERCENTAGE">
                      <a:rPr lang="en-US" altLang="zh-CN"/>
                      <a:pPr>
                        <a:defRPr/>
                      </a:pPr>
                      <a:t>[百分比]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622252378773294"/>
                      <c:h val="7.99191925915149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E12-4F02-8547-2757CE5828D2}"/>
                </c:ext>
              </c:extLst>
            </c:dLbl>
            <c:dLbl>
              <c:idx val="12"/>
              <c:layout>
                <c:manualLayout>
                  <c:x val="1.9158868918940242E-2"/>
                  <c:y val="-1.541155764509906E-2"/>
                </c:manualLayout>
              </c:layout>
              <c:tx>
                <c:rich>
                  <a:bodyPr/>
                  <a:lstStyle/>
                  <a:p>
                    <a:fld id="{2E172F02-4B36-4922-AFEA-2FDFE7C1258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5062E6FE-C1AA-48DC-A61B-047A2505B60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E12-4F02-8547-2757CE5828D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B0C628D-297B-4DC8-B7E8-8924194F12B5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A9D91325-97AD-41AD-9B63-812F7EF4626C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E12-4F02-8547-2757CE5828D2}"/>
                </c:ext>
              </c:extLst>
            </c:dLbl>
            <c:dLbl>
              <c:idx val="14"/>
              <c:layout>
                <c:manualLayout>
                  <c:x val="4.088381487384217E-2"/>
                  <c:y val="7.2826957329883604E-2"/>
                </c:manualLayout>
              </c:layout>
              <c:tx>
                <c:rich>
                  <a:bodyPr/>
                  <a:lstStyle/>
                  <a:p>
                    <a:fld id="{CE6E3981-864B-4B43-B1C3-7E69E2CEF5BD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AC743CF-326B-4E27-AA05-423375DDE646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E12-4F02-8547-2757CE5828D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912400-B452-411A-91DE-22813765550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095A218-3476-47AB-AAB3-7FB8170EFEE2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E12-4F02-8547-2757CE5828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16"/>
              <c:pt idx="0">
                <c:v>电费</c:v>
              </c:pt>
              <c:pt idx="1">
                <c:v>早餐</c:v>
              </c:pt>
              <c:pt idx="2">
                <c:v>中餐</c:v>
              </c:pt>
              <c:pt idx="3">
                <c:v>晚餐</c:v>
              </c:pt>
              <c:pt idx="4">
                <c:v>水果</c:v>
              </c:pt>
              <c:pt idx="5">
                <c:v>零食</c:v>
              </c:pt>
              <c:pt idx="6">
                <c:v>加餐</c:v>
              </c:pt>
              <c:pt idx="7">
                <c:v>地铁</c:v>
              </c:pt>
              <c:pt idx="8">
                <c:v>共享(电)动车</c:v>
              </c:pt>
              <c:pt idx="9">
                <c:v>日常用品</c:v>
              </c:pt>
              <c:pt idx="10">
                <c:v>书籍</c:v>
              </c:pt>
              <c:pt idx="11">
                <c:v>电子产品</c:v>
              </c:pt>
              <c:pt idx="12">
                <c:v>衣物</c:v>
              </c:pt>
              <c:pt idx="13">
                <c:v>杂物</c:v>
              </c:pt>
              <c:pt idx="14">
                <c:v>服务</c:v>
              </c:pt>
              <c:pt idx="15">
                <c:v>医保/体检/看病</c:v>
              </c:pt>
            </c:strLit>
          </c:cat>
          <c:val>
            <c:numLit>
              <c:formatCode>General</c:formatCode>
              <c:ptCount val="16"/>
              <c:pt idx="0">
                <c:v>16.957500000000003</c:v>
              </c:pt>
              <c:pt idx="1">
                <c:v>146.6</c:v>
              </c:pt>
              <c:pt idx="2">
                <c:v>663.3</c:v>
              </c:pt>
              <c:pt idx="3">
                <c:v>713.49999999999989</c:v>
              </c:pt>
              <c:pt idx="4">
                <c:v>61.8</c:v>
              </c:pt>
              <c:pt idx="5">
                <c:v>175.10000000000002</c:v>
              </c:pt>
              <c:pt idx="6">
                <c:v>85</c:v>
              </c:pt>
              <c:pt idx="7">
                <c:v>0</c:v>
              </c:pt>
              <c:pt idx="8">
                <c:v>534.8499999999998</c:v>
              </c:pt>
              <c:pt idx="9">
                <c:v>426.25999999999988</c:v>
              </c:pt>
              <c:pt idx="10">
                <c:v>170.91</c:v>
              </c:pt>
              <c:pt idx="11">
                <c:v>0</c:v>
              </c:pt>
              <c:pt idx="12">
                <c:v>18.989999999999998</c:v>
              </c:pt>
              <c:pt idx="13">
                <c:v>83.28</c:v>
              </c:pt>
              <c:pt idx="14">
                <c:v>254.97000000000003</c:v>
              </c:pt>
              <c:pt idx="15">
                <c:v>92.5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{"电费","早餐","中餐","晚餐","水果","零食","加餐","地铁","共享(电)动车","日常用品","书籍","电子产品","衣物","杂物","服务","医保/体检/看病"}</c15:f>
                <c15:dlblRangeCache>
                  <c:ptCount val="16"/>
                  <c:pt idx="0">
                    <c:v>电费</c:v>
                  </c:pt>
                  <c:pt idx="1">
                    <c:v>早餐</c:v>
                  </c:pt>
                  <c:pt idx="2">
                    <c:v>中餐</c:v>
                  </c:pt>
                  <c:pt idx="3">
                    <c:v>晚餐</c:v>
                  </c:pt>
                  <c:pt idx="4">
                    <c:v>水果</c:v>
                  </c:pt>
                  <c:pt idx="5">
                    <c:v>零食</c:v>
                  </c:pt>
                  <c:pt idx="6">
                    <c:v>加餐</c:v>
                  </c:pt>
                  <c:pt idx="7">
                    <c:v>地铁</c:v>
                  </c:pt>
                  <c:pt idx="8">
                    <c:v>共享(电)动车</c:v>
                  </c:pt>
                  <c:pt idx="9">
                    <c:v>日常用品</c:v>
                  </c:pt>
                  <c:pt idx="10">
                    <c:v>书籍</c:v>
                  </c:pt>
                  <c:pt idx="11">
                    <c:v>电子产品</c:v>
                  </c:pt>
                  <c:pt idx="12">
                    <c:v>衣物</c:v>
                  </c:pt>
                  <c:pt idx="13">
                    <c:v>杂物</c:v>
                  </c:pt>
                  <c:pt idx="14">
                    <c:v>服务</c:v>
                  </c:pt>
                  <c:pt idx="15">
                    <c:v>医保/体检/看病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1E12-4F02-8547-2757CE582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tx>
            <c:v>总计</c:v>
          </c:tx>
          <c:explosion val="50"/>
          <c:dPt>
            <c:idx val="0"/>
            <c:bubble3D val="0"/>
            <c:explosion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1E12-4F02-8547-2757CE5828D2}"/>
              </c:ext>
            </c:extLst>
          </c:dPt>
          <c:dPt>
            <c:idx val="1"/>
            <c:bubble3D val="0"/>
            <c:explosion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1E12-4F02-8547-2757CE5828D2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1E12-4F02-8547-2757CE5828D2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1E12-4F02-8547-2757CE5828D2}"/>
              </c:ext>
            </c:extLst>
          </c:dPt>
          <c:dPt>
            <c:idx val="4"/>
            <c:bubble3D val="0"/>
            <c:explosion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1E12-4F02-8547-2757CE5828D2}"/>
              </c:ext>
            </c:extLst>
          </c:dPt>
          <c:dLbls>
            <c:dLbl>
              <c:idx val="0"/>
              <c:layout>
                <c:manualLayout>
                  <c:x val="2.1134552569706269E-2"/>
                  <c:y val="-2.6876063750964976E-2"/>
                </c:manualLayout>
              </c:layout>
              <c:tx>
                <c:rich>
                  <a:bodyPr/>
                  <a:lstStyle/>
                  <a:p>
                    <a:fld id="{9668EEE7-BADE-4F8A-876C-0AC57CAFB091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0865DBF5-9C4D-4F70-8B69-C3CCFDE848F4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E12-4F02-8547-2757CE5828D2}"/>
                </c:ext>
              </c:extLst>
            </c:dLbl>
            <c:dLbl>
              <c:idx val="1"/>
              <c:layout>
                <c:manualLayout>
                  <c:x val="-0.14693994287788176"/>
                  <c:y val="-1.7517866069185945E-2"/>
                </c:manualLayout>
              </c:layout>
              <c:tx>
                <c:rich>
                  <a:bodyPr/>
                  <a:lstStyle/>
                  <a:p>
                    <a:fld id="{A6B451A6-DC4D-41A7-9587-474C703C308A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33E8EDEB-31D9-4A63-8896-BE468087CFEB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E12-4F02-8547-2757CE5828D2}"/>
                </c:ext>
              </c:extLst>
            </c:dLbl>
            <c:dLbl>
              <c:idx val="2"/>
              <c:layout>
                <c:manualLayout>
                  <c:x val="9.4538289176778756E-2"/>
                  <c:y val="-0.1117737626421792"/>
                </c:manualLayout>
              </c:layout>
              <c:tx>
                <c:rich>
                  <a:bodyPr/>
                  <a:lstStyle/>
                  <a:p>
                    <a:fld id="{92139565-BBDD-4768-82E0-E11362379A64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87320FB-3A90-454C-B13F-B38D301521A3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E12-4F02-8547-2757CE5828D2}"/>
                </c:ext>
              </c:extLst>
            </c:dLbl>
            <c:dLbl>
              <c:idx val="3"/>
              <c:layout>
                <c:manualLayout>
                  <c:x val="0.12821801082479919"/>
                  <c:y val="7.9392559269297391E-2"/>
                </c:manualLayout>
              </c:layout>
              <c:tx>
                <c:rich>
                  <a:bodyPr/>
                  <a:lstStyle/>
                  <a:p>
                    <a:fld id="{4745CFC8-FE50-46CE-A0A6-3835AEDC5B4B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11763CF9-8DBD-4D3B-80DF-9EECC55C8D23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E12-4F02-8547-2757CE5828D2}"/>
                </c:ext>
              </c:extLst>
            </c:dLbl>
            <c:dLbl>
              <c:idx val="4"/>
              <c:layout>
                <c:manualLayout>
                  <c:x val="-3.0519306329193823E-3"/>
                  <c:y val="-4.6936026194048866E-3"/>
                </c:manualLayout>
              </c:layout>
              <c:tx>
                <c:rich>
                  <a:bodyPr/>
                  <a:lstStyle/>
                  <a:p>
                    <a:fld id="{295D30AF-BB2C-4540-88A3-1651A0E96B74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0C46C858-6B28-4083-907F-C1B98D07DB78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E12-4F02-8547-2757CE5828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Lit>
              <c:formatCode>General</c:formatCode>
              <c:ptCount val="5"/>
              <c:pt idx="0">
                <c:v>16.957500000000003</c:v>
              </c:pt>
              <c:pt idx="1">
                <c:v>1845.2999999999997</c:v>
              </c:pt>
              <c:pt idx="2">
                <c:v>534.8499999999998</c:v>
              </c:pt>
              <c:pt idx="3">
                <c:v>954.40999999999985</c:v>
              </c:pt>
              <c:pt idx="4">
                <c:v>92.5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{"电费","餐饮","交通","购物","医疗"}</c15:f>
                <c15:dlblRangeCache>
                  <c:ptCount val="5"/>
                  <c:pt idx="0">
                    <c:v>电费</c:v>
                  </c:pt>
                  <c:pt idx="1">
                    <c:v>餐饮</c:v>
                  </c:pt>
                  <c:pt idx="2">
                    <c:v>交通</c:v>
                  </c:pt>
                  <c:pt idx="3">
                    <c:v>购物</c:v>
                  </c:pt>
                  <c:pt idx="4">
                    <c:v>医疗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E12-4F02-8547-2757CE582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11-4D56-9983-7848E836B936}"/>
              </c:ext>
            </c:extLst>
          </c:dPt>
          <c:dPt>
            <c:idx val="1"/>
            <c:bubble3D val="0"/>
            <c:spPr>
              <a:solidFill>
                <a:schemeClr val="accent6">
                  <a:tint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11-4D56-9983-7848E836B936}"/>
              </c:ext>
            </c:extLst>
          </c:dPt>
          <c:dPt>
            <c:idx val="2"/>
            <c:bubble3D val="0"/>
            <c:spPr>
              <a:solidFill>
                <a:schemeClr val="accent6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11-4D56-9983-7848E836B936}"/>
              </c:ext>
            </c:extLst>
          </c:dPt>
          <c:dPt>
            <c:idx val="3"/>
            <c:bubble3D val="0"/>
            <c:spPr>
              <a:solidFill>
                <a:schemeClr val="accent6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11-4D56-9983-7848E836B936}"/>
              </c:ext>
            </c:extLst>
          </c:dPt>
          <c:dPt>
            <c:idx val="4"/>
            <c:bubble3D val="0"/>
            <c:spPr>
              <a:solidFill>
                <a:schemeClr val="accent6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11-4D56-9983-7848E836B936}"/>
              </c:ext>
            </c:extLst>
          </c:dPt>
          <c:dPt>
            <c:idx val="5"/>
            <c:bubble3D val="0"/>
            <c:spPr>
              <a:solidFill>
                <a:schemeClr val="accent6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11-4D56-9983-7848E836B936}"/>
              </c:ext>
            </c:extLst>
          </c:dPt>
          <c:dPt>
            <c:idx val="6"/>
            <c:bubble3D val="0"/>
            <c:spPr>
              <a:solidFill>
                <a:schemeClr val="accent6">
                  <a:tint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11-4D56-9983-7848E836B936}"/>
              </c:ext>
            </c:extLst>
          </c:dPt>
          <c:dPt>
            <c:idx val="7"/>
            <c:bubble3D val="0"/>
            <c:spPr>
              <a:solidFill>
                <a:schemeClr val="accent6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11-4D56-9983-7848E836B936}"/>
              </c:ext>
            </c:extLst>
          </c:dPt>
          <c:dPt>
            <c:idx val="8"/>
            <c:bubble3D val="0"/>
            <c:spPr>
              <a:solidFill>
                <a:schemeClr val="accent6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11-4D56-9983-7848E836B936}"/>
              </c:ext>
            </c:extLst>
          </c:dPt>
          <c:dPt>
            <c:idx val="9"/>
            <c:bubble3D val="0"/>
            <c:spPr>
              <a:solidFill>
                <a:schemeClr val="accent6">
                  <a:shade val="8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11-4D56-9983-7848E836B936}"/>
              </c:ext>
            </c:extLst>
          </c:dPt>
          <c:dPt>
            <c:idx val="10"/>
            <c:bubble3D val="0"/>
            <c:spPr>
              <a:solidFill>
                <a:schemeClr val="accent6">
                  <a:shade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11-4D56-9983-7848E836B936}"/>
              </c:ext>
            </c:extLst>
          </c:dPt>
          <c:dPt>
            <c:idx val="11"/>
            <c:bubble3D val="0"/>
            <c:spPr>
              <a:solidFill>
                <a:schemeClr val="accent6">
                  <a:shade val="7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A11-4D56-9983-7848E836B936}"/>
              </c:ext>
            </c:extLst>
          </c:dPt>
          <c:dPt>
            <c:idx val="12"/>
            <c:bubble3D val="0"/>
            <c:spPr>
              <a:solidFill>
                <a:schemeClr val="accent6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A11-4D56-9983-7848E836B936}"/>
              </c:ext>
            </c:extLst>
          </c:dPt>
          <c:dPt>
            <c:idx val="13"/>
            <c:bubble3D val="0"/>
            <c:spPr>
              <a:solidFill>
                <a:schemeClr val="accent6">
                  <a:shade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A11-4D56-9983-7848E836B936}"/>
              </c:ext>
            </c:extLst>
          </c:dPt>
          <c:dPt>
            <c:idx val="14"/>
            <c:bubble3D val="0"/>
            <c:spPr>
              <a:solidFill>
                <a:schemeClr val="accent6">
                  <a:shade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A11-4D56-9983-7848E836B936}"/>
              </c:ext>
            </c:extLst>
          </c:dPt>
          <c:dPt>
            <c:idx val="15"/>
            <c:bubble3D val="0"/>
            <c:spPr>
              <a:solidFill>
                <a:schemeClr val="accent6">
                  <a:shade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A11-4D56-9983-7848E836B936}"/>
              </c:ext>
            </c:extLst>
          </c:dPt>
          <c:dLbls>
            <c:dLbl>
              <c:idx val="0"/>
              <c:layout>
                <c:manualLayout>
                  <c:x val="-3.3048459122970351E-2"/>
                  <c:y val="-2.1461769501454536E-2"/>
                </c:manualLayout>
              </c:layout>
              <c:tx>
                <c:rich>
                  <a:bodyPr/>
                  <a:lstStyle/>
                  <a:p>
                    <a:fld id="{2DE0C4BA-2902-4509-A7BF-0708DB2108F7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00D17A8B-178E-49C0-B342-B73A862B21E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A11-4D56-9983-7848E836B936}"/>
                </c:ext>
              </c:extLst>
            </c:dLbl>
            <c:dLbl>
              <c:idx val="1"/>
              <c:layout>
                <c:manualLayout>
                  <c:x val="1.3837123065027693E-2"/>
                  <c:y val="4.9611917113941461E-3"/>
                </c:manualLayout>
              </c:layout>
              <c:tx>
                <c:rich>
                  <a:bodyPr/>
                  <a:lstStyle/>
                  <a:p>
                    <a:fld id="{DC5FE0EA-A703-4801-A9E4-4010CB08EE1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E6014C20-6B32-48FE-8C9A-F69AFC59C2DD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11-4D56-9983-7848E836B9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111B63-0DDB-4BFA-96B1-A93DE8A5466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391681B-524A-4AFD-9656-BE3268BAFD68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A11-4D56-9983-7848E836B9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FBF4ED-7387-40AA-9F4A-2A1603D5541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E62BC38-9A30-46C2-BC0A-7EBF020D0019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A11-4D56-9983-7848E836B9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998277-F55D-48AF-BD10-E8746D3A1DA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1A881D18-C0A7-4C3B-8272-ECF8514FF49E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A11-4D56-9983-7848E836B9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36B2FE-3DE4-4ADE-B103-EECFD54938D7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308E8F8-4664-464C-AD56-126B01B319B1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A11-4D56-9983-7848E836B9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FDDD6B-590D-4393-8D65-48A87BF0EC5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47CD0F23-F9AB-46E3-8533-962617335FF4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A11-4D56-9983-7848E836B9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C977B3-03C7-4379-B07A-AAB173283E10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CC6CA17C-8AE3-4AE3-A5CD-FEEA6DB1F38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A11-4D56-9983-7848E836B936}"/>
                </c:ext>
              </c:extLst>
            </c:dLbl>
            <c:dLbl>
              <c:idx val="8"/>
              <c:layout>
                <c:manualLayout>
                  <c:x val="6.4531898442554358E-2"/>
                  <c:y val="-7.4728863666056008E-2"/>
                </c:manualLayout>
              </c:layout>
              <c:tx>
                <c:rich>
                  <a:bodyPr/>
                  <a:lstStyle/>
                  <a:p>
                    <a:fld id="{1DFA218C-00F0-48BE-A478-E77327310392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5A5A529-AB82-4E01-B403-8BE124068AFC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A11-4D56-9983-7848E836B936}"/>
                </c:ext>
              </c:extLst>
            </c:dLbl>
            <c:dLbl>
              <c:idx val="9"/>
              <c:layout>
                <c:manualLayout>
                  <c:x val="8.4965442696416454E-2"/>
                  <c:y val="-1.5016470221044331E-3"/>
                </c:manualLayout>
              </c:layout>
              <c:tx>
                <c:rich>
                  <a:bodyPr/>
                  <a:lstStyle/>
                  <a:p>
                    <a:fld id="{E3E9C6EC-EFB0-44DB-A526-CFE6D9987B3F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9582E127-0DE4-4F7E-A81D-E6A8C4EC912F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A11-4D56-9983-7848E836B9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125574-625D-4B45-BD29-B745971D7FDF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DD489BF-22AD-4780-B5D3-41D52261D0A6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A11-4D56-9983-7848E836B936}"/>
                </c:ext>
              </c:extLst>
            </c:dLbl>
            <c:dLbl>
              <c:idx val="11"/>
              <c:layout>
                <c:manualLayout>
                  <c:x val="-2.4365739352721176E-2"/>
                  <c:y val="4.57344612251037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A7EC0E-2ABE-48E2-8D42-8CEBC0C5B2A1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zh-CN" altLang="en-US" baseline="0"/>
                  </a:p>
                  <a:p>
                    <a:pPr>
                      <a:defRPr/>
                    </a:pPr>
                    <a:fld id="{BEC6A4FD-D3C0-4C6A-97B2-F5E51577EF58}" type="PERCENTAGE">
                      <a:rPr lang="en-US" altLang="zh-CN"/>
                      <a:pPr>
                        <a:defRPr/>
                      </a:pPr>
                      <a:t>[百分比]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622252378773294"/>
                      <c:h val="7.99191925915149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A11-4D56-9983-7848E836B936}"/>
                </c:ext>
              </c:extLst>
            </c:dLbl>
            <c:dLbl>
              <c:idx val="12"/>
              <c:layout>
                <c:manualLayout>
                  <c:x val="1.9158868918940242E-2"/>
                  <c:y val="-1.541155764509906E-2"/>
                </c:manualLayout>
              </c:layout>
              <c:tx>
                <c:rich>
                  <a:bodyPr/>
                  <a:lstStyle/>
                  <a:p>
                    <a:fld id="{66036513-9BA5-47DE-B8EE-A09901E7F06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A74E949F-2E31-44E2-B1C0-61385FD5785E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A11-4D56-9983-7848E836B9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5264A58-36D1-4A85-86CC-41AB9763479B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C191CD18-F846-4A31-B2C3-4DAC8772F499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4A11-4D56-9983-7848E836B936}"/>
                </c:ext>
              </c:extLst>
            </c:dLbl>
            <c:dLbl>
              <c:idx val="14"/>
              <c:layout>
                <c:manualLayout>
                  <c:x val="4.088381487384217E-2"/>
                  <c:y val="7.2826957329883604E-2"/>
                </c:manualLayout>
              </c:layout>
              <c:tx>
                <c:rich>
                  <a:bodyPr/>
                  <a:lstStyle/>
                  <a:p>
                    <a:fld id="{E7C7A2B2-BF1B-4C68-A80A-2798FAC9A943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53FE13E0-AAD2-492C-9083-83091B37B398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A11-4D56-9983-7848E836B9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8926A79-78E1-470F-90CF-01104BF6CD89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4D6C275-AC68-41AF-8F8D-5BBD65A805F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A11-4D56-9983-7848E836B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支出明细!$B$41:$B$56</c:f>
              <c:strCache>
                <c:ptCount val="16"/>
                <c:pt idx="0">
                  <c:v>电费</c:v>
                </c:pt>
                <c:pt idx="1">
                  <c:v>早餐</c:v>
                </c:pt>
                <c:pt idx="2">
                  <c:v>中餐</c:v>
                </c:pt>
                <c:pt idx="3">
                  <c:v>晚餐</c:v>
                </c:pt>
                <c:pt idx="4">
                  <c:v>水果</c:v>
                </c:pt>
                <c:pt idx="5">
                  <c:v>零食</c:v>
                </c:pt>
                <c:pt idx="6">
                  <c:v>加餐</c:v>
                </c:pt>
                <c:pt idx="7">
                  <c:v>地铁</c:v>
                </c:pt>
                <c:pt idx="8">
                  <c:v>共享(电)动车</c:v>
                </c:pt>
                <c:pt idx="9">
                  <c:v>日常用品</c:v>
                </c:pt>
                <c:pt idx="10">
                  <c:v>书籍</c:v>
                </c:pt>
                <c:pt idx="11">
                  <c:v>电子产品</c:v>
                </c:pt>
                <c:pt idx="12">
                  <c:v>衣物</c:v>
                </c:pt>
                <c:pt idx="13">
                  <c:v>杂物</c:v>
                </c:pt>
                <c:pt idx="14">
                  <c:v>服务</c:v>
                </c:pt>
                <c:pt idx="15">
                  <c:v>医保/体检/看病</c:v>
                </c:pt>
              </c:strCache>
            </c:strRef>
          </c:cat>
          <c:val>
            <c:numRef>
              <c:f>支出明细!$C$41:$C$56</c:f>
              <c:numCache>
                <c:formatCode>0.00</c:formatCode>
                <c:ptCount val="16"/>
                <c:pt idx="0">
                  <c:v>81.855000000000004</c:v>
                </c:pt>
                <c:pt idx="1">
                  <c:v>60.5</c:v>
                </c:pt>
                <c:pt idx="2">
                  <c:v>524.5</c:v>
                </c:pt>
                <c:pt idx="3">
                  <c:v>476.3</c:v>
                </c:pt>
                <c:pt idx="4">
                  <c:v>0</c:v>
                </c:pt>
                <c:pt idx="5">
                  <c:v>111.6</c:v>
                </c:pt>
                <c:pt idx="6">
                  <c:v>228.35000000000002</c:v>
                </c:pt>
                <c:pt idx="7">
                  <c:v>88</c:v>
                </c:pt>
                <c:pt idx="8">
                  <c:v>7.6999999999999993</c:v>
                </c:pt>
                <c:pt idx="9">
                  <c:v>405.98</c:v>
                </c:pt>
                <c:pt idx="10">
                  <c:v>0</c:v>
                </c:pt>
                <c:pt idx="11">
                  <c:v>6627.69</c:v>
                </c:pt>
                <c:pt idx="12">
                  <c:v>347.1</c:v>
                </c:pt>
                <c:pt idx="13">
                  <c:v>36.15</c:v>
                </c:pt>
                <c:pt idx="14">
                  <c:v>1100.5800000000002</c:v>
                </c:pt>
                <c:pt idx="1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{"电费","早餐","中餐","晚餐","水果","零食","加餐","地铁","共享(电)动车","日常用品","书籍","电子产品","衣物","杂物","服务","医保/体检/看病"}</c15:f>
                <c15:dlblRangeCache>
                  <c:ptCount val="16"/>
                  <c:pt idx="0">
                    <c:v>电费</c:v>
                  </c:pt>
                  <c:pt idx="1">
                    <c:v>早餐</c:v>
                  </c:pt>
                  <c:pt idx="2">
                    <c:v>中餐</c:v>
                  </c:pt>
                  <c:pt idx="3">
                    <c:v>晚餐</c:v>
                  </c:pt>
                  <c:pt idx="4">
                    <c:v>水果</c:v>
                  </c:pt>
                  <c:pt idx="5">
                    <c:v>零食</c:v>
                  </c:pt>
                  <c:pt idx="6">
                    <c:v>加餐</c:v>
                  </c:pt>
                  <c:pt idx="7">
                    <c:v>地铁</c:v>
                  </c:pt>
                  <c:pt idx="8">
                    <c:v>共享(电)动车</c:v>
                  </c:pt>
                  <c:pt idx="9">
                    <c:v>日常用品</c:v>
                  </c:pt>
                  <c:pt idx="10">
                    <c:v>书籍</c:v>
                  </c:pt>
                  <c:pt idx="11">
                    <c:v>电子产品</c:v>
                  </c:pt>
                  <c:pt idx="12">
                    <c:v>衣物</c:v>
                  </c:pt>
                  <c:pt idx="13">
                    <c:v>杂物</c:v>
                  </c:pt>
                  <c:pt idx="14">
                    <c:v>服务</c:v>
                  </c:pt>
                  <c:pt idx="15">
                    <c:v>医保/体检/看病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4A11-4D56-9983-7848E836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tx>
            <c:v>总计</c:v>
          </c:tx>
          <c:explosion val="50"/>
          <c:dPt>
            <c:idx val="0"/>
            <c:bubble3D val="0"/>
            <c:explosion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A11-4D56-9983-7848E836B936}"/>
              </c:ext>
            </c:extLst>
          </c:dPt>
          <c:dPt>
            <c:idx val="1"/>
            <c:bubble3D val="0"/>
            <c:explosion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A11-4D56-9983-7848E836B936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A11-4D56-9983-7848E836B936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A11-4D56-9983-7848E836B936}"/>
              </c:ext>
            </c:extLst>
          </c:dPt>
          <c:dPt>
            <c:idx val="4"/>
            <c:bubble3D val="0"/>
            <c:explosion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A11-4D56-9983-7848E836B936}"/>
              </c:ext>
            </c:extLst>
          </c:dPt>
          <c:dLbls>
            <c:dLbl>
              <c:idx val="0"/>
              <c:layout>
                <c:manualLayout>
                  <c:x val="2.1134552569706269E-2"/>
                  <c:y val="-2.6876063750964976E-2"/>
                </c:manualLayout>
              </c:layout>
              <c:tx>
                <c:rich>
                  <a:bodyPr/>
                  <a:lstStyle/>
                  <a:p>
                    <a:fld id="{40ADB236-4F06-4950-99FD-FC140B8E23F0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BFAC6F11-B42C-4773-B387-2FEB3235585B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4A11-4D56-9983-7848E836B936}"/>
                </c:ext>
              </c:extLst>
            </c:dLbl>
            <c:dLbl>
              <c:idx val="1"/>
              <c:layout>
                <c:manualLayout>
                  <c:x val="-0.14693994287788176"/>
                  <c:y val="-1.7517866069185945E-2"/>
                </c:manualLayout>
              </c:layout>
              <c:tx>
                <c:rich>
                  <a:bodyPr/>
                  <a:lstStyle/>
                  <a:p>
                    <a:fld id="{BD5AC0F0-3B71-439C-A8B0-C456214F2DC2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DFF4BA0-4B6A-423F-8CC4-FB0EC0080D8F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4A11-4D56-9983-7848E836B936}"/>
                </c:ext>
              </c:extLst>
            </c:dLbl>
            <c:dLbl>
              <c:idx val="2"/>
              <c:layout>
                <c:manualLayout>
                  <c:x val="9.4538289176778756E-2"/>
                  <c:y val="-0.1117737626421792"/>
                </c:manualLayout>
              </c:layout>
              <c:tx>
                <c:rich>
                  <a:bodyPr/>
                  <a:lstStyle/>
                  <a:p>
                    <a:fld id="{8619CFC6-A865-474A-A0F2-195D8077D90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A5E791CC-6AAB-4BA7-9B10-AD26F8A4437E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4A11-4D56-9983-7848E836B936}"/>
                </c:ext>
              </c:extLst>
            </c:dLbl>
            <c:dLbl>
              <c:idx val="3"/>
              <c:layout>
                <c:manualLayout>
                  <c:x val="0.12821801082479919"/>
                  <c:y val="7.9392559269297391E-2"/>
                </c:manualLayout>
              </c:layout>
              <c:tx>
                <c:rich>
                  <a:bodyPr/>
                  <a:lstStyle/>
                  <a:p>
                    <a:fld id="{2F34450D-B5E6-4194-95F0-21F23CA88B3B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9059CEB-8118-4277-8C1A-72E91984A1B0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4A11-4D56-9983-7848E836B936}"/>
                </c:ext>
              </c:extLst>
            </c:dLbl>
            <c:dLbl>
              <c:idx val="4"/>
              <c:layout>
                <c:manualLayout>
                  <c:x val="-3.0519306329193823E-3"/>
                  <c:y val="-4.6936026194048866E-3"/>
                </c:manualLayout>
              </c:layout>
              <c:tx>
                <c:rich>
                  <a:bodyPr/>
                  <a:lstStyle/>
                  <a:p>
                    <a:fld id="{217AC13E-2A90-43DD-8817-57EA8E476C81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7B529FB5-D0DE-4EFA-A3D5-7E9306073194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4A11-4D56-9983-7848E836B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支出明细!$F$41:$F$45</c:f>
              <c:numCache>
                <c:formatCode>0.00</c:formatCode>
                <c:ptCount val="5"/>
                <c:pt idx="0">
                  <c:v>81.855000000000004</c:v>
                </c:pt>
                <c:pt idx="1">
                  <c:v>1401.25</c:v>
                </c:pt>
                <c:pt idx="2">
                  <c:v>95.7</c:v>
                </c:pt>
                <c:pt idx="3">
                  <c:v>8517.5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{"电费","餐饮","交通","购物","医疗"}</c15:f>
                <c15:dlblRangeCache>
                  <c:ptCount val="5"/>
                  <c:pt idx="0">
                    <c:v>电费</c:v>
                  </c:pt>
                  <c:pt idx="1">
                    <c:v>餐饮</c:v>
                  </c:pt>
                  <c:pt idx="2">
                    <c:v>交通</c:v>
                  </c:pt>
                  <c:pt idx="3">
                    <c:v>购物</c:v>
                  </c:pt>
                  <c:pt idx="4">
                    <c:v>医疗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4A11-4D56-9983-7848E836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A-489F-A16B-D11A7139D644}"/>
              </c:ext>
            </c:extLst>
          </c:dPt>
          <c:dPt>
            <c:idx val="1"/>
            <c:bubble3D val="0"/>
            <c:spPr>
              <a:solidFill>
                <a:schemeClr val="accent6">
                  <a:tint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1A-489F-A16B-D11A7139D644}"/>
              </c:ext>
            </c:extLst>
          </c:dPt>
          <c:dPt>
            <c:idx val="2"/>
            <c:bubble3D val="0"/>
            <c:spPr>
              <a:solidFill>
                <a:schemeClr val="accent6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1A-489F-A16B-D11A7139D644}"/>
              </c:ext>
            </c:extLst>
          </c:dPt>
          <c:dPt>
            <c:idx val="3"/>
            <c:bubble3D val="0"/>
            <c:spPr>
              <a:solidFill>
                <a:schemeClr val="accent6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1A-489F-A16B-D11A7139D644}"/>
              </c:ext>
            </c:extLst>
          </c:dPt>
          <c:dPt>
            <c:idx val="4"/>
            <c:bubble3D val="0"/>
            <c:spPr>
              <a:solidFill>
                <a:schemeClr val="accent6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1A-489F-A16B-D11A7139D644}"/>
              </c:ext>
            </c:extLst>
          </c:dPt>
          <c:dPt>
            <c:idx val="5"/>
            <c:bubble3D val="0"/>
            <c:spPr>
              <a:solidFill>
                <a:schemeClr val="accent6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1A-489F-A16B-D11A7139D644}"/>
              </c:ext>
            </c:extLst>
          </c:dPt>
          <c:dPt>
            <c:idx val="6"/>
            <c:bubble3D val="0"/>
            <c:spPr>
              <a:solidFill>
                <a:schemeClr val="accent6">
                  <a:tint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1A-489F-A16B-D11A7139D644}"/>
              </c:ext>
            </c:extLst>
          </c:dPt>
          <c:dPt>
            <c:idx val="7"/>
            <c:bubble3D val="0"/>
            <c:spPr>
              <a:solidFill>
                <a:schemeClr val="accent6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1A-489F-A16B-D11A7139D644}"/>
              </c:ext>
            </c:extLst>
          </c:dPt>
          <c:dPt>
            <c:idx val="8"/>
            <c:bubble3D val="0"/>
            <c:spPr>
              <a:solidFill>
                <a:schemeClr val="accent6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61A-489F-A16B-D11A7139D644}"/>
              </c:ext>
            </c:extLst>
          </c:dPt>
          <c:dPt>
            <c:idx val="9"/>
            <c:bubble3D val="0"/>
            <c:spPr>
              <a:solidFill>
                <a:schemeClr val="accent6">
                  <a:shade val="8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61A-489F-A16B-D11A7139D644}"/>
              </c:ext>
            </c:extLst>
          </c:dPt>
          <c:dPt>
            <c:idx val="10"/>
            <c:bubble3D val="0"/>
            <c:spPr>
              <a:solidFill>
                <a:schemeClr val="accent6">
                  <a:shade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61A-489F-A16B-D11A7139D644}"/>
              </c:ext>
            </c:extLst>
          </c:dPt>
          <c:dPt>
            <c:idx val="11"/>
            <c:bubble3D val="0"/>
            <c:spPr>
              <a:solidFill>
                <a:schemeClr val="accent6">
                  <a:shade val="7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61A-489F-A16B-D11A7139D644}"/>
              </c:ext>
            </c:extLst>
          </c:dPt>
          <c:dPt>
            <c:idx val="12"/>
            <c:bubble3D val="0"/>
            <c:spPr>
              <a:solidFill>
                <a:schemeClr val="accent6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61A-489F-A16B-D11A7139D644}"/>
              </c:ext>
            </c:extLst>
          </c:dPt>
          <c:dPt>
            <c:idx val="13"/>
            <c:bubble3D val="0"/>
            <c:spPr>
              <a:solidFill>
                <a:schemeClr val="accent6">
                  <a:shade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61A-489F-A16B-D11A7139D644}"/>
              </c:ext>
            </c:extLst>
          </c:dPt>
          <c:dPt>
            <c:idx val="14"/>
            <c:bubble3D val="0"/>
            <c:spPr>
              <a:solidFill>
                <a:schemeClr val="accent6">
                  <a:shade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61A-489F-A16B-D11A7139D644}"/>
              </c:ext>
            </c:extLst>
          </c:dPt>
          <c:dPt>
            <c:idx val="15"/>
            <c:bubble3D val="0"/>
            <c:spPr>
              <a:solidFill>
                <a:schemeClr val="accent6">
                  <a:shade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61A-489F-A16B-D11A7139D644}"/>
              </c:ext>
            </c:extLst>
          </c:dPt>
          <c:dLbls>
            <c:dLbl>
              <c:idx val="0"/>
              <c:layout>
                <c:manualLayout>
                  <c:x val="-3.3048459122970351E-2"/>
                  <c:y val="-2.1461769501454536E-2"/>
                </c:manualLayout>
              </c:layout>
              <c:tx>
                <c:rich>
                  <a:bodyPr/>
                  <a:lstStyle/>
                  <a:p>
                    <a:fld id="{D4031340-55B8-476C-ABC0-BC2405DCAAAF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7CCAEEA-DA7D-49B7-A62E-5AD94D0EE782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61A-489F-A16B-D11A7139D644}"/>
                </c:ext>
              </c:extLst>
            </c:dLbl>
            <c:dLbl>
              <c:idx val="1"/>
              <c:layout>
                <c:manualLayout>
                  <c:x val="1.3837123065027693E-2"/>
                  <c:y val="4.9611917113941461E-3"/>
                </c:manualLayout>
              </c:layout>
              <c:tx>
                <c:rich>
                  <a:bodyPr/>
                  <a:lstStyle/>
                  <a:p>
                    <a:fld id="{B82211D8-E5C1-4C62-9ADD-C5AFF57E787E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8EEE1251-DB46-498F-969A-8EF063711E49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61A-489F-A16B-D11A7139D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30C069-DBBD-4520-9D2C-F0AD738FB7D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4C12E39-6E57-4077-ADE5-1ADB2925582C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1A-489F-A16B-D11A7139D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329EFBF-99DD-490C-BB61-3B873D5BBF67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7E6BD27-426D-4901-9283-D60795F04E58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61A-489F-A16B-D11A7139D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2A681B-CC15-4797-8E98-5586B80EEA8F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9CD841B-1434-4068-BB18-66D5ED57313D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61A-489F-A16B-D11A7139D64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3DD8D3-33E0-4497-9C8D-5A79C527C5E4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537C857B-9A65-4C1D-80CD-A030A3327BB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61A-489F-A16B-D11A7139D64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3509E4F-7AB1-4BA2-A65D-AC8569E0E2A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5DBCE025-AD23-4966-82CE-32F9674DED45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61A-489F-A16B-D11A7139D64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E1244CD-453A-47A4-869C-9EC6C8F88C0D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BEF6BB6D-5D44-4673-B1BC-855346B0B731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61A-489F-A16B-D11A7139D644}"/>
                </c:ext>
              </c:extLst>
            </c:dLbl>
            <c:dLbl>
              <c:idx val="8"/>
              <c:layout>
                <c:manualLayout>
                  <c:x val="6.4531898442554358E-2"/>
                  <c:y val="-7.4728863666056008E-2"/>
                </c:manualLayout>
              </c:layout>
              <c:tx>
                <c:rich>
                  <a:bodyPr/>
                  <a:lstStyle/>
                  <a:p>
                    <a:fld id="{D095D272-B1A0-407C-99CB-A19CB9E68F51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C1DDAEB6-13AA-4ED5-BFBE-4A13F426099A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61A-489F-A16B-D11A7139D644}"/>
                </c:ext>
              </c:extLst>
            </c:dLbl>
            <c:dLbl>
              <c:idx val="9"/>
              <c:layout>
                <c:manualLayout>
                  <c:x val="8.4965442696416454E-2"/>
                  <c:y val="-1.5016470221044331E-3"/>
                </c:manualLayout>
              </c:layout>
              <c:tx>
                <c:rich>
                  <a:bodyPr/>
                  <a:lstStyle/>
                  <a:p>
                    <a:fld id="{240B42BF-FB8D-4730-BE19-08799CDAE1B8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90648BF-8C5C-4D4B-9704-524A9B8394E5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61A-489F-A16B-D11A7139D64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D2DE83-F47C-47A9-92FE-863EB45CC5CB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2AEB84CA-C2C4-4BCD-8E05-E8D52C1F4DE0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61A-489F-A16B-D11A7139D644}"/>
                </c:ext>
              </c:extLst>
            </c:dLbl>
            <c:dLbl>
              <c:idx val="11"/>
              <c:layout>
                <c:manualLayout>
                  <c:x val="-2.4365739352721176E-2"/>
                  <c:y val="4.57344612251037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E85A23F-DFCA-4D8A-A584-476FE4A1A645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zh-CN" altLang="en-US" baseline="0"/>
                  </a:p>
                  <a:p>
                    <a:pPr>
                      <a:defRPr/>
                    </a:pPr>
                    <a:fld id="{B6846198-9110-4B5D-9272-3555E54C09F8}" type="PERCENTAGE">
                      <a:rPr lang="en-US" altLang="zh-CN"/>
                      <a:pPr>
                        <a:defRPr/>
                      </a:pPr>
                      <a:t>[百分比]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622252378773294"/>
                      <c:h val="7.99191925915149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61A-489F-A16B-D11A7139D644}"/>
                </c:ext>
              </c:extLst>
            </c:dLbl>
            <c:dLbl>
              <c:idx val="12"/>
              <c:layout>
                <c:manualLayout>
                  <c:x val="1.9158868918940242E-2"/>
                  <c:y val="-1.541155764509906E-2"/>
                </c:manualLayout>
              </c:layout>
              <c:tx>
                <c:rich>
                  <a:bodyPr/>
                  <a:lstStyle/>
                  <a:p>
                    <a:fld id="{D5D89E81-27F6-4B85-9112-B5611FF286F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3598662-639F-40D2-B93F-34DBD5F4823B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61A-489F-A16B-D11A7139D64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EB7CA31-B110-4555-B973-8A3E8BA56CBB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B3F018D9-B4D5-4A18-B898-14D4AF02D46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C61A-489F-A16B-D11A7139D644}"/>
                </c:ext>
              </c:extLst>
            </c:dLbl>
            <c:dLbl>
              <c:idx val="14"/>
              <c:layout>
                <c:manualLayout>
                  <c:x val="4.088381487384217E-2"/>
                  <c:y val="7.2826957329883604E-2"/>
                </c:manualLayout>
              </c:layout>
              <c:tx>
                <c:rich>
                  <a:bodyPr/>
                  <a:lstStyle/>
                  <a:p>
                    <a:fld id="{783E5AE1-D42D-409D-8BCA-DB62B12A38E5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34BD0DC3-9974-4805-9132-EFF255BAD9C7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C61A-489F-A16B-D11A7139D64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B4B0E74-CB9F-46B6-9522-F0EF6D7AEC3C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4870DF5F-6242-464B-BECF-CD104D684DF5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C61A-489F-A16B-D11A7139D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支出明细!$B$41:$B$56</c:f>
              <c:strCache>
                <c:ptCount val="16"/>
                <c:pt idx="0">
                  <c:v>电费</c:v>
                </c:pt>
                <c:pt idx="1">
                  <c:v>早餐</c:v>
                </c:pt>
                <c:pt idx="2">
                  <c:v>中餐</c:v>
                </c:pt>
                <c:pt idx="3">
                  <c:v>晚餐</c:v>
                </c:pt>
                <c:pt idx="4">
                  <c:v>水果</c:v>
                </c:pt>
                <c:pt idx="5">
                  <c:v>零食</c:v>
                </c:pt>
                <c:pt idx="6">
                  <c:v>加餐</c:v>
                </c:pt>
                <c:pt idx="7">
                  <c:v>地铁</c:v>
                </c:pt>
                <c:pt idx="8">
                  <c:v>共享(电)动车</c:v>
                </c:pt>
                <c:pt idx="9">
                  <c:v>日常用品</c:v>
                </c:pt>
                <c:pt idx="10">
                  <c:v>书籍</c:v>
                </c:pt>
                <c:pt idx="11">
                  <c:v>电子产品</c:v>
                </c:pt>
                <c:pt idx="12">
                  <c:v>衣物</c:v>
                </c:pt>
                <c:pt idx="13">
                  <c:v>杂物</c:v>
                </c:pt>
                <c:pt idx="14">
                  <c:v>服务</c:v>
                </c:pt>
                <c:pt idx="15">
                  <c:v>医保/体检/看病</c:v>
                </c:pt>
              </c:strCache>
            </c:strRef>
          </c:cat>
          <c:val>
            <c:numRef>
              <c:f>支出明细!$C$41:$C$56</c:f>
              <c:numCache>
                <c:formatCode>0.00</c:formatCode>
                <c:ptCount val="16"/>
                <c:pt idx="0">
                  <c:v>81.855000000000004</c:v>
                </c:pt>
                <c:pt idx="1">
                  <c:v>60.5</c:v>
                </c:pt>
                <c:pt idx="2">
                  <c:v>524.5</c:v>
                </c:pt>
                <c:pt idx="3">
                  <c:v>476.3</c:v>
                </c:pt>
                <c:pt idx="4">
                  <c:v>0</c:v>
                </c:pt>
                <c:pt idx="5">
                  <c:v>111.6</c:v>
                </c:pt>
                <c:pt idx="6">
                  <c:v>228.35000000000002</c:v>
                </c:pt>
                <c:pt idx="7">
                  <c:v>88</c:v>
                </c:pt>
                <c:pt idx="8">
                  <c:v>7.6999999999999993</c:v>
                </c:pt>
                <c:pt idx="9">
                  <c:v>405.98</c:v>
                </c:pt>
                <c:pt idx="10">
                  <c:v>0</c:v>
                </c:pt>
                <c:pt idx="11">
                  <c:v>6627.69</c:v>
                </c:pt>
                <c:pt idx="12">
                  <c:v>347.1</c:v>
                </c:pt>
                <c:pt idx="13">
                  <c:v>36.15</c:v>
                </c:pt>
                <c:pt idx="14">
                  <c:v>1100.5800000000002</c:v>
                </c:pt>
                <c:pt idx="1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{"电费","早餐","中餐","晚餐","水果","零食","加餐","地铁","共享(电)动车","日常用品","书籍","电子产品","衣物","杂物","服务","医保/体检/看病"}</c15:f>
                <c15:dlblRangeCache>
                  <c:ptCount val="16"/>
                  <c:pt idx="0">
                    <c:v>电费</c:v>
                  </c:pt>
                  <c:pt idx="1">
                    <c:v>早餐</c:v>
                  </c:pt>
                  <c:pt idx="2">
                    <c:v>中餐</c:v>
                  </c:pt>
                  <c:pt idx="3">
                    <c:v>晚餐</c:v>
                  </c:pt>
                  <c:pt idx="4">
                    <c:v>水果</c:v>
                  </c:pt>
                  <c:pt idx="5">
                    <c:v>零食</c:v>
                  </c:pt>
                  <c:pt idx="6">
                    <c:v>加餐</c:v>
                  </c:pt>
                  <c:pt idx="7">
                    <c:v>地铁</c:v>
                  </c:pt>
                  <c:pt idx="8">
                    <c:v>共享(电)动车</c:v>
                  </c:pt>
                  <c:pt idx="9">
                    <c:v>日常用品</c:v>
                  </c:pt>
                  <c:pt idx="10">
                    <c:v>书籍</c:v>
                  </c:pt>
                  <c:pt idx="11">
                    <c:v>电子产品</c:v>
                  </c:pt>
                  <c:pt idx="12">
                    <c:v>衣物</c:v>
                  </c:pt>
                  <c:pt idx="13">
                    <c:v>杂物</c:v>
                  </c:pt>
                  <c:pt idx="14">
                    <c:v>服务</c:v>
                  </c:pt>
                  <c:pt idx="15">
                    <c:v>医保/体检/看病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C61A-489F-A16B-D11A7139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tx>
            <c:v>总计</c:v>
          </c:tx>
          <c:explosion val="50"/>
          <c:dPt>
            <c:idx val="0"/>
            <c:bubble3D val="0"/>
            <c:explosion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C61A-489F-A16B-D11A7139D644}"/>
              </c:ext>
            </c:extLst>
          </c:dPt>
          <c:dPt>
            <c:idx val="1"/>
            <c:bubble3D val="0"/>
            <c:explosion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C61A-489F-A16B-D11A7139D644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C61A-489F-A16B-D11A7139D644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61A-489F-A16B-D11A7139D644}"/>
              </c:ext>
            </c:extLst>
          </c:dPt>
          <c:dPt>
            <c:idx val="4"/>
            <c:bubble3D val="0"/>
            <c:explosion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61A-489F-A16B-D11A7139D644}"/>
              </c:ext>
            </c:extLst>
          </c:dPt>
          <c:dLbls>
            <c:dLbl>
              <c:idx val="0"/>
              <c:layout>
                <c:manualLayout>
                  <c:x val="2.1134552569706269E-2"/>
                  <c:y val="-2.6876063750964976E-2"/>
                </c:manualLayout>
              </c:layout>
              <c:tx>
                <c:rich>
                  <a:bodyPr/>
                  <a:lstStyle/>
                  <a:p>
                    <a:fld id="{5E123F7A-1FBF-470E-92AB-019FD8CD0E68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B671F6D9-AAD5-42FD-8B39-BEF62871EBFF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C61A-489F-A16B-D11A7139D644}"/>
                </c:ext>
              </c:extLst>
            </c:dLbl>
            <c:dLbl>
              <c:idx val="1"/>
              <c:layout>
                <c:manualLayout>
                  <c:x val="-0.14693994287788176"/>
                  <c:y val="-1.7517866069185945E-2"/>
                </c:manualLayout>
              </c:layout>
              <c:tx>
                <c:rich>
                  <a:bodyPr/>
                  <a:lstStyle/>
                  <a:p>
                    <a:fld id="{AEBC4005-AA34-4951-B3AC-55948A0E5D69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FEE79A5E-3DB0-42AE-BB8F-566320FBD819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C61A-489F-A16B-D11A7139D644}"/>
                </c:ext>
              </c:extLst>
            </c:dLbl>
            <c:dLbl>
              <c:idx val="2"/>
              <c:layout>
                <c:manualLayout>
                  <c:x val="9.4538289176778756E-2"/>
                  <c:y val="-0.1117737626421792"/>
                </c:manualLayout>
              </c:layout>
              <c:tx>
                <c:rich>
                  <a:bodyPr/>
                  <a:lstStyle/>
                  <a:p>
                    <a:fld id="{24B4D4B7-6FE4-46D9-9CAF-82A2C3AB3DB8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26A2DB2-AEED-4775-AF9D-E13FC665D02B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C61A-489F-A16B-D11A7139D644}"/>
                </c:ext>
              </c:extLst>
            </c:dLbl>
            <c:dLbl>
              <c:idx val="3"/>
              <c:layout>
                <c:manualLayout>
                  <c:x val="0.12821801082479919"/>
                  <c:y val="7.9392559269297391E-2"/>
                </c:manualLayout>
              </c:layout>
              <c:tx>
                <c:rich>
                  <a:bodyPr/>
                  <a:lstStyle/>
                  <a:p>
                    <a:fld id="{21FD32EE-6752-4A6D-AAED-370808F9D8CF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D8750384-9AC7-4174-8A32-0470FFDC5E05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C61A-489F-A16B-D11A7139D644}"/>
                </c:ext>
              </c:extLst>
            </c:dLbl>
            <c:dLbl>
              <c:idx val="4"/>
              <c:layout>
                <c:manualLayout>
                  <c:x val="-3.0519306329193823E-3"/>
                  <c:y val="-4.6936026194048866E-3"/>
                </c:manualLayout>
              </c:layout>
              <c:tx>
                <c:rich>
                  <a:bodyPr/>
                  <a:lstStyle/>
                  <a:p>
                    <a:fld id="{59DF97A8-D0CD-454F-9BDE-FCD57CDFD706}" type="CELLRANGE">
                      <a:rPr lang="zh-CN" altLang="en-US"/>
                      <a:pPr/>
                      <a:t>[CELLRANGE]</a:t>
                    </a:fld>
                    <a:endParaRPr lang="zh-CN" altLang="en-US" baseline="0"/>
                  </a:p>
                  <a:p>
                    <a:fld id="{4322652C-BD5D-48F0-B43B-CA92E2ECC449}" type="PERCENTAGE">
                      <a:rPr lang="en-US" altLang="zh-CN"/>
                      <a:pPr/>
                      <a:t>[百分比]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C61A-489F-A16B-D11A7139D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支出明细!$F$41:$F$45</c:f>
              <c:numCache>
                <c:formatCode>0.00</c:formatCode>
                <c:ptCount val="5"/>
                <c:pt idx="0">
                  <c:v>81.855000000000004</c:v>
                </c:pt>
                <c:pt idx="1">
                  <c:v>1401.25</c:v>
                </c:pt>
                <c:pt idx="2">
                  <c:v>95.7</c:v>
                </c:pt>
                <c:pt idx="3">
                  <c:v>8517.5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{"电费","餐饮","交通","购物","医疗"}</c15:f>
                <c15:dlblRangeCache>
                  <c:ptCount val="5"/>
                  <c:pt idx="0">
                    <c:v>电费</c:v>
                  </c:pt>
                  <c:pt idx="1">
                    <c:v>餐饮</c:v>
                  </c:pt>
                  <c:pt idx="2">
                    <c:v>交通</c:v>
                  </c:pt>
                  <c:pt idx="3">
                    <c:v>购物</c:v>
                  </c:pt>
                  <c:pt idx="4">
                    <c:v>医疗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C61A-489F-A16B-D11A7139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10582</xdr:rowOff>
    </xdr:from>
    <xdr:to>
      <xdr:col>7</xdr:col>
      <xdr:colOff>702733</xdr:colOff>
      <xdr:row>81</xdr:row>
      <xdr:rowOff>173566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4A3A8DE-55AD-4DD4-B102-1938DBEC3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10582</xdr:rowOff>
    </xdr:from>
    <xdr:to>
      <xdr:col>7</xdr:col>
      <xdr:colOff>702733</xdr:colOff>
      <xdr:row>81</xdr:row>
      <xdr:rowOff>173566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0ABC6E9-128E-43A9-9FED-415553427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58</xdr:row>
      <xdr:rowOff>10582</xdr:rowOff>
    </xdr:from>
    <xdr:to>
      <xdr:col>7</xdr:col>
      <xdr:colOff>702733</xdr:colOff>
      <xdr:row>81</xdr:row>
      <xdr:rowOff>173566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18F1C5F-6DAD-4790-917D-336105F1D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8" zoomScale="150" zoomScaleNormal="150" workbookViewId="0">
      <selection activeCell="K26" sqref="K26"/>
    </sheetView>
  </sheetViews>
  <sheetFormatPr defaultColWidth="10.6328125" defaultRowHeight="14.5"/>
  <cols>
    <col min="1" max="1" width="10.6328125" style="15"/>
    <col min="2" max="4" width="12.6328125" style="15" customWidth="1"/>
    <col min="5" max="11" width="10.6328125" style="15"/>
    <col min="12" max="12" width="11.6328125" style="15" customWidth="1"/>
    <col min="13" max="18" width="10.6328125" style="15"/>
    <col min="19" max="19" width="18.6328125" style="15" customWidth="1"/>
    <col min="20" max="16384" width="10.6328125" style="15"/>
  </cols>
  <sheetData>
    <row r="1" spans="1:20" s="3" customFormat="1" ht="26">
      <c r="A1" s="1" t="s">
        <v>0</v>
      </c>
      <c r="B1" s="29" t="s">
        <v>1</v>
      </c>
      <c r="C1" s="30"/>
      <c r="D1" s="31"/>
      <c r="E1" s="29" t="s">
        <v>2</v>
      </c>
      <c r="F1" s="30"/>
      <c r="G1" s="30"/>
      <c r="H1" s="30"/>
      <c r="I1" s="30"/>
      <c r="J1" s="31"/>
      <c r="K1" s="29" t="s">
        <v>3</v>
      </c>
      <c r="L1" s="31"/>
      <c r="M1" s="29" t="s">
        <v>4</v>
      </c>
      <c r="N1" s="30"/>
      <c r="O1" s="30"/>
      <c r="P1" s="30"/>
      <c r="Q1" s="30"/>
      <c r="R1" s="31"/>
      <c r="S1" s="2" t="s">
        <v>5</v>
      </c>
      <c r="T1" s="32" t="s">
        <v>6</v>
      </c>
    </row>
    <row r="2" spans="1:20" s="4" customFormat="1" ht="13">
      <c r="B2" s="35" t="s">
        <v>7</v>
      </c>
      <c r="C2" s="36"/>
      <c r="D2" s="37"/>
      <c r="E2" s="38" t="s">
        <v>8</v>
      </c>
      <c r="F2" s="39"/>
      <c r="G2" s="40"/>
      <c r="H2" s="41" t="s">
        <v>9</v>
      </c>
      <c r="I2" s="41" t="s">
        <v>10</v>
      </c>
      <c r="J2" s="41" t="s">
        <v>11</v>
      </c>
      <c r="K2" s="41" t="s">
        <v>12</v>
      </c>
      <c r="L2" s="41" t="s">
        <v>13</v>
      </c>
      <c r="M2" s="41" t="s">
        <v>14</v>
      </c>
      <c r="N2" s="41" t="s">
        <v>15</v>
      </c>
      <c r="O2" s="41" t="s">
        <v>16</v>
      </c>
      <c r="P2" s="41" t="s">
        <v>17</v>
      </c>
      <c r="Q2" s="41" t="s">
        <v>18</v>
      </c>
      <c r="R2" s="41" t="s">
        <v>19</v>
      </c>
      <c r="S2" s="41" t="s">
        <v>43</v>
      </c>
      <c r="T2" s="33"/>
    </row>
    <row r="3" spans="1:20" s="4" customFormat="1" ht="13"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34"/>
    </row>
    <row r="4" spans="1:20" s="9" customFormat="1">
      <c r="A4" s="6">
        <v>1</v>
      </c>
      <c r="B4" s="7">
        <v>96.3</v>
      </c>
      <c r="C4" s="7">
        <v>95.85</v>
      </c>
      <c r="D4" s="23">
        <f>(B4-C4)*0.85</f>
        <v>0.38250000000000239</v>
      </c>
      <c r="E4" s="7"/>
      <c r="F4" s="7">
        <v>22</v>
      </c>
      <c r="G4" s="7">
        <v>31</v>
      </c>
      <c r="H4" s="7"/>
      <c r="I4" s="7">
        <v>32</v>
      </c>
      <c r="J4" s="7">
        <v>5</v>
      </c>
      <c r="K4" s="7">
        <v>14</v>
      </c>
      <c r="L4" s="7"/>
      <c r="M4" s="7">
        <v>69.78</v>
      </c>
      <c r="N4" s="7"/>
      <c r="O4" s="7"/>
      <c r="P4" s="7"/>
      <c r="Q4" s="7"/>
      <c r="R4" s="7"/>
      <c r="S4" s="7"/>
      <c r="T4" s="8">
        <f>SUM(D4:S4)</f>
        <v>174.16250000000002</v>
      </c>
    </row>
    <row r="5" spans="1:20" s="9" customFormat="1">
      <c r="A5" s="6">
        <v>2</v>
      </c>
      <c r="B5" s="7">
        <v>95.85</v>
      </c>
      <c r="C5" s="7">
        <v>95.47</v>
      </c>
      <c r="D5" s="23">
        <f t="shared" ref="D5:D34" si="0">(B5-C5)*0.85</f>
        <v>0.32299999999999612</v>
      </c>
      <c r="E5" s="7">
        <v>8.5</v>
      </c>
      <c r="F5" s="7">
        <v>21</v>
      </c>
      <c r="G5" s="7">
        <v>38</v>
      </c>
      <c r="H5" s="7"/>
      <c r="I5" s="7">
        <v>27</v>
      </c>
      <c r="J5" s="7"/>
      <c r="K5" s="7">
        <v>14</v>
      </c>
      <c r="L5" s="10"/>
      <c r="M5" s="7"/>
      <c r="N5" s="7"/>
      <c r="O5" s="7"/>
      <c r="P5" s="7"/>
      <c r="Q5" s="10"/>
      <c r="R5" s="24">
        <v>58</v>
      </c>
      <c r="S5" s="7"/>
      <c r="T5" s="8">
        <f t="shared" ref="T5:T34" si="1">SUM(D5:S5)</f>
        <v>166.82299999999998</v>
      </c>
    </row>
    <row r="6" spans="1:20" s="9" customFormat="1">
      <c r="A6" s="6">
        <v>3</v>
      </c>
      <c r="B6" s="7">
        <v>95.47</v>
      </c>
      <c r="C6" s="7">
        <v>95.05</v>
      </c>
      <c r="D6" s="23">
        <f t="shared" si="0"/>
        <v>0.35700000000000143</v>
      </c>
      <c r="E6" s="7">
        <v>5</v>
      </c>
      <c r="F6" s="7">
        <v>29.9</v>
      </c>
      <c r="G6" s="7">
        <v>22</v>
      </c>
      <c r="H6" s="7"/>
      <c r="I6" s="7"/>
      <c r="J6" s="10">
        <v>20.5</v>
      </c>
      <c r="K6" s="7">
        <v>15</v>
      </c>
      <c r="L6" s="7">
        <v>2.06</v>
      </c>
      <c r="N6" s="7"/>
      <c r="O6" s="7"/>
      <c r="P6" s="7"/>
      <c r="Q6" s="7"/>
      <c r="R6" s="7"/>
      <c r="S6" s="7"/>
      <c r="T6" s="8">
        <f t="shared" si="1"/>
        <v>94.817000000000007</v>
      </c>
    </row>
    <row r="7" spans="1:20" s="9" customFormat="1">
      <c r="A7" s="6">
        <v>4</v>
      </c>
      <c r="B7" s="7">
        <v>95.05</v>
      </c>
      <c r="C7" s="7">
        <v>94.45</v>
      </c>
      <c r="D7" s="23">
        <f t="shared" si="0"/>
        <v>0.50999999999999512</v>
      </c>
      <c r="E7" s="7"/>
      <c r="F7" s="7">
        <v>26.1</v>
      </c>
      <c r="G7" s="7">
        <v>23.5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>
        <f t="shared" si="1"/>
        <v>50.11</v>
      </c>
    </row>
    <row r="8" spans="1:20" s="9" customFormat="1">
      <c r="A8" s="6">
        <v>5</v>
      </c>
      <c r="B8" s="7">
        <v>94.45</v>
      </c>
      <c r="C8" s="7">
        <v>93.93</v>
      </c>
      <c r="D8" s="23">
        <f t="shared" si="0"/>
        <v>0.44199999999999662</v>
      </c>
      <c r="E8" s="7"/>
      <c r="F8" s="7">
        <v>18</v>
      </c>
      <c r="G8" s="7">
        <v>16</v>
      </c>
      <c r="H8" s="7"/>
      <c r="I8" s="7"/>
      <c r="J8" s="7">
        <v>39.4</v>
      </c>
      <c r="K8" s="7"/>
      <c r="L8" s="7"/>
      <c r="M8" s="7"/>
      <c r="N8" s="7"/>
      <c r="O8" s="7"/>
      <c r="P8" s="7"/>
      <c r="Q8" s="7"/>
      <c r="R8" s="10">
        <v>120</v>
      </c>
      <c r="S8" s="7"/>
      <c r="T8" s="8">
        <f t="shared" si="1"/>
        <v>193.84199999999998</v>
      </c>
    </row>
    <row r="9" spans="1:20" s="9" customFormat="1">
      <c r="A9" s="6">
        <v>6</v>
      </c>
      <c r="B9" s="7">
        <v>93.93</v>
      </c>
      <c r="C9" s="7">
        <v>93.42</v>
      </c>
      <c r="D9" s="23">
        <f t="shared" si="0"/>
        <v>0.43350000000000433</v>
      </c>
      <c r="E9" s="7"/>
      <c r="F9" s="7">
        <v>14</v>
      </c>
      <c r="G9" s="7">
        <v>19.399999999999999</v>
      </c>
      <c r="H9" s="7"/>
      <c r="I9" s="7"/>
      <c r="J9" s="7">
        <v>11</v>
      </c>
      <c r="K9" s="7"/>
      <c r="L9" s="7"/>
      <c r="M9" s="7"/>
      <c r="N9" s="7"/>
      <c r="O9" s="11"/>
      <c r="P9" s="7"/>
      <c r="Q9" s="7"/>
      <c r="R9" s="7"/>
      <c r="S9" s="7"/>
      <c r="T9" s="8">
        <f t="shared" si="1"/>
        <v>44.833500000000001</v>
      </c>
    </row>
    <row r="10" spans="1:20" s="9" customFormat="1">
      <c r="A10" s="6">
        <v>7</v>
      </c>
      <c r="B10" s="7">
        <v>93.42</v>
      </c>
      <c r="C10" s="7">
        <v>92.99</v>
      </c>
      <c r="D10" s="23">
        <f t="shared" si="0"/>
        <v>0.36550000000000576</v>
      </c>
      <c r="E10" s="7"/>
      <c r="F10" s="7">
        <v>10</v>
      </c>
      <c r="G10" s="7">
        <v>14</v>
      </c>
      <c r="H10" s="7"/>
      <c r="I10" s="7"/>
      <c r="J10" s="7"/>
      <c r="K10" s="7"/>
      <c r="L10" s="7"/>
      <c r="M10" s="7">
        <v>21.6</v>
      </c>
      <c r="N10" s="7"/>
      <c r="O10" s="7"/>
      <c r="P10" s="7"/>
      <c r="Q10" s="7"/>
      <c r="R10" s="7">
        <v>164.5</v>
      </c>
      <c r="S10" s="7"/>
      <c r="T10" s="8">
        <f t="shared" si="1"/>
        <v>210.46550000000002</v>
      </c>
    </row>
    <row r="11" spans="1:20" s="9" customFormat="1">
      <c r="A11" s="6">
        <v>8</v>
      </c>
      <c r="B11" s="7">
        <v>92.99</v>
      </c>
      <c r="C11" s="7">
        <v>92.46</v>
      </c>
      <c r="D11" s="23">
        <f t="shared" si="0"/>
        <v>0.45050000000000096</v>
      </c>
      <c r="E11" s="7"/>
      <c r="F11" s="7">
        <v>35</v>
      </c>
      <c r="G11" s="7">
        <v>11</v>
      </c>
      <c r="H11" s="7"/>
      <c r="I11" s="7"/>
      <c r="J11" s="7"/>
      <c r="K11" s="7"/>
      <c r="L11" s="7">
        <v>1.53</v>
      </c>
      <c r="M11" s="7"/>
      <c r="N11" s="7"/>
      <c r="O11" s="7"/>
      <c r="P11" s="7"/>
      <c r="Q11" s="7"/>
      <c r="R11" s="10"/>
      <c r="S11" s="7"/>
      <c r="T11" s="8">
        <f t="shared" si="1"/>
        <v>47.980499999999999</v>
      </c>
    </row>
    <row r="12" spans="1:20" s="9" customFormat="1">
      <c r="A12" s="6">
        <v>9</v>
      </c>
      <c r="B12" s="7">
        <v>92.46</v>
      </c>
      <c r="C12" s="7">
        <v>91.96</v>
      </c>
      <c r="D12" s="23">
        <f t="shared" si="0"/>
        <v>0.42499999999999999</v>
      </c>
      <c r="E12" s="7"/>
      <c r="F12" s="7">
        <v>22</v>
      </c>
      <c r="G12" s="7">
        <v>14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>
        <v>128</v>
      </c>
      <c r="S12" s="7"/>
      <c r="T12" s="8">
        <f t="shared" si="1"/>
        <v>164.42500000000001</v>
      </c>
    </row>
    <row r="13" spans="1:20" s="9" customFormat="1">
      <c r="A13" s="6">
        <v>10</v>
      </c>
      <c r="B13" s="7">
        <v>91.96</v>
      </c>
      <c r="C13" s="7">
        <v>91.96</v>
      </c>
      <c r="D13" s="23">
        <f t="shared" si="0"/>
        <v>0</v>
      </c>
      <c r="E13" s="7">
        <v>12</v>
      </c>
      <c r="F13" s="7">
        <v>32</v>
      </c>
      <c r="G13" s="7">
        <v>32.4</v>
      </c>
      <c r="H13" s="7"/>
      <c r="I13" s="7">
        <v>24</v>
      </c>
      <c r="J13" s="7">
        <v>25</v>
      </c>
      <c r="K13" s="7">
        <v>20</v>
      </c>
      <c r="L13" s="7"/>
      <c r="M13" s="7">
        <v>5</v>
      </c>
      <c r="N13" s="7"/>
      <c r="O13" s="7"/>
      <c r="P13" s="7"/>
      <c r="Q13" s="7"/>
      <c r="R13" s="7">
        <v>168.2</v>
      </c>
      <c r="S13" s="7"/>
      <c r="T13" s="8">
        <f t="shared" si="1"/>
        <v>318.60000000000002</v>
      </c>
    </row>
    <row r="14" spans="1:20" s="9" customFormat="1">
      <c r="A14" s="6">
        <v>11</v>
      </c>
      <c r="B14" s="7">
        <v>91.96</v>
      </c>
      <c r="C14" s="7">
        <v>91.8</v>
      </c>
      <c r="D14" s="23">
        <f t="shared" si="0"/>
        <v>0.1359999999999971</v>
      </c>
      <c r="E14" s="7">
        <v>16</v>
      </c>
      <c r="F14" s="7">
        <v>65</v>
      </c>
      <c r="G14" s="7">
        <v>60</v>
      </c>
      <c r="H14" s="7"/>
      <c r="I14" s="7"/>
      <c r="J14" s="7">
        <v>20.65</v>
      </c>
      <c r="K14" s="7">
        <v>18</v>
      </c>
      <c r="L14" s="7"/>
      <c r="M14" s="7">
        <v>38.799999999999997</v>
      </c>
      <c r="N14" s="7"/>
      <c r="O14" s="7"/>
      <c r="P14" s="10"/>
      <c r="Q14" s="7"/>
      <c r="S14" s="7"/>
      <c r="T14" s="8">
        <f t="shared" si="1"/>
        <v>218.58600000000001</v>
      </c>
    </row>
    <row r="15" spans="1:20" s="9" customFormat="1">
      <c r="A15" s="6">
        <v>12</v>
      </c>
      <c r="B15" s="7">
        <v>91.8</v>
      </c>
      <c r="C15" s="7">
        <v>91.4</v>
      </c>
      <c r="D15" s="23">
        <f t="shared" si="0"/>
        <v>0.33999999999999275</v>
      </c>
      <c r="E15" s="7">
        <v>10</v>
      </c>
      <c r="F15" s="7">
        <v>14</v>
      </c>
      <c r="G15" s="7">
        <v>14</v>
      </c>
      <c r="H15" s="7"/>
      <c r="I15" s="7"/>
      <c r="J15" s="7">
        <v>20.5</v>
      </c>
      <c r="K15" s="7">
        <v>7</v>
      </c>
      <c r="L15" s="7"/>
      <c r="M15" s="7"/>
      <c r="N15" s="7"/>
      <c r="O15" s="7"/>
      <c r="P15" s="10">
        <v>258.10000000000002</v>
      </c>
      <c r="Q15" s="7"/>
      <c r="R15" s="7"/>
      <c r="S15" s="7"/>
      <c r="T15" s="8">
        <f t="shared" si="1"/>
        <v>323.94</v>
      </c>
    </row>
    <row r="16" spans="1:20" s="9" customFormat="1">
      <c r="A16" s="6">
        <v>13</v>
      </c>
      <c r="B16" s="7">
        <v>91.4</v>
      </c>
      <c r="C16" s="7">
        <v>90.87</v>
      </c>
      <c r="D16" s="23">
        <f t="shared" si="0"/>
        <v>0.45050000000000096</v>
      </c>
      <c r="E16" s="7"/>
      <c r="F16" s="7">
        <v>22</v>
      </c>
      <c r="G16" s="7">
        <v>14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f t="shared" si="1"/>
        <v>36.450500000000005</v>
      </c>
    </row>
    <row r="17" spans="1:20" s="9" customFormat="1">
      <c r="A17" s="6">
        <v>14</v>
      </c>
      <c r="B17" s="7">
        <v>90.87</v>
      </c>
      <c r="C17" s="7">
        <v>90.38</v>
      </c>
      <c r="D17" s="23">
        <f t="shared" si="0"/>
        <v>0.4165000000000077</v>
      </c>
      <c r="E17" s="7"/>
      <c r="F17" s="7">
        <v>14</v>
      </c>
      <c r="G17" s="7">
        <v>14</v>
      </c>
      <c r="H17" s="7"/>
      <c r="I17" s="7"/>
      <c r="J17" s="7"/>
      <c r="K17" s="7"/>
      <c r="L17" s="7">
        <v>2.04</v>
      </c>
      <c r="M17" s="10">
        <v>59</v>
      </c>
      <c r="N17" s="7"/>
      <c r="O17" s="10">
        <v>6439.19</v>
      </c>
      <c r="P17" s="7"/>
      <c r="Q17" s="10">
        <v>36.15</v>
      </c>
      <c r="R17" s="7"/>
      <c r="S17" s="7"/>
      <c r="T17" s="27">
        <f t="shared" si="1"/>
        <v>6564.7964999999995</v>
      </c>
    </row>
    <row r="18" spans="1:20" s="9" customFormat="1">
      <c r="A18" s="6">
        <v>15</v>
      </c>
      <c r="B18" s="7">
        <v>90.38</v>
      </c>
      <c r="C18" s="7">
        <v>89.68</v>
      </c>
      <c r="D18" s="23">
        <f t="shared" si="0"/>
        <v>0.59499999999999031</v>
      </c>
      <c r="E18" s="7"/>
      <c r="F18" s="7">
        <v>26</v>
      </c>
      <c r="G18" s="7">
        <v>14</v>
      </c>
      <c r="H18" s="7"/>
      <c r="I18" s="7"/>
      <c r="J18" s="7"/>
      <c r="K18" s="7"/>
      <c r="L18" s="7"/>
      <c r="M18" s="10">
        <v>101.3</v>
      </c>
      <c r="N18" s="7"/>
      <c r="O18" s="7"/>
      <c r="P18" s="7"/>
      <c r="Q18" s="7"/>
      <c r="R18" s="7"/>
      <c r="S18" s="7"/>
      <c r="T18" s="8">
        <f t="shared" si="1"/>
        <v>141.89499999999998</v>
      </c>
    </row>
    <row r="19" spans="1:20" s="9" customFormat="1">
      <c r="A19" s="6">
        <v>16</v>
      </c>
      <c r="B19" s="7">
        <v>89.68</v>
      </c>
      <c r="C19" s="7">
        <v>88.71</v>
      </c>
      <c r="D19" s="23">
        <f t="shared" si="0"/>
        <v>0.82450000000001111</v>
      </c>
      <c r="E19" s="7"/>
      <c r="F19" s="7">
        <v>20</v>
      </c>
      <c r="G19" s="7">
        <v>24</v>
      </c>
      <c r="H19" s="7"/>
      <c r="I19" s="7"/>
      <c r="J19" s="7">
        <v>43.8</v>
      </c>
      <c r="K19" s="7"/>
      <c r="L19" s="7"/>
      <c r="M19" s="7"/>
      <c r="N19" s="7"/>
      <c r="O19" s="10">
        <v>188.5</v>
      </c>
      <c r="P19" s="7"/>
      <c r="Q19" s="7"/>
      <c r="R19" s="7"/>
      <c r="S19" s="7"/>
      <c r="T19" s="8">
        <f t="shared" si="1"/>
        <v>277.12450000000001</v>
      </c>
    </row>
    <row r="20" spans="1:20" s="9" customFormat="1">
      <c r="A20" s="6">
        <v>17</v>
      </c>
      <c r="B20" s="7">
        <v>88.71</v>
      </c>
      <c r="C20" s="7">
        <v>88.5</v>
      </c>
      <c r="D20" s="23">
        <f t="shared" si="0"/>
        <v>0.17849999999999469</v>
      </c>
      <c r="E20" s="7"/>
      <c r="F20" s="7">
        <v>29</v>
      </c>
      <c r="G20" s="7">
        <v>15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10">
        <v>144.93</v>
      </c>
      <c r="S20" s="7"/>
      <c r="T20" s="8">
        <f t="shared" si="1"/>
        <v>189.10849999999999</v>
      </c>
    </row>
    <row r="21" spans="1:20" s="9" customFormat="1">
      <c r="A21" s="6">
        <v>18</v>
      </c>
      <c r="B21" s="7">
        <v>88.5</v>
      </c>
      <c r="C21" s="7">
        <v>87.87</v>
      </c>
      <c r="D21" s="23">
        <f t="shared" si="0"/>
        <v>0.53549999999999609</v>
      </c>
      <c r="E21" s="7"/>
      <c r="F21" s="7">
        <v>18</v>
      </c>
      <c r="G21" s="7">
        <v>30</v>
      </c>
      <c r="H21" s="7"/>
      <c r="I21" s="12"/>
      <c r="J21" s="7">
        <v>20.5</v>
      </c>
      <c r="K21" s="7"/>
      <c r="L21" s="7"/>
      <c r="M21" s="7"/>
      <c r="N21" s="7"/>
      <c r="O21" s="7"/>
      <c r="P21" s="7"/>
      <c r="Q21" s="7"/>
      <c r="R21" s="10">
        <v>89</v>
      </c>
      <c r="S21" s="7"/>
      <c r="T21" s="8">
        <f t="shared" si="1"/>
        <v>158.03550000000001</v>
      </c>
    </row>
    <row r="22" spans="1:20" s="9" customFormat="1">
      <c r="A22" s="6">
        <v>19</v>
      </c>
      <c r="B22" s="7">
        <v>87.87</v>
      </c>
      <c r="C22" s="7">
        <v>87.56</v>
      </c>
      <c r="D22" s="23">
        <f t="shared" si="0"/>
        <v>0.2635000000000019</v>
      </c>
      <c r="E22" s="7"/>
      <c r="F22" s="7">
        <v>18.5</v>
      </c>
      <c r="G22" s="7">
        <v>14</v>
      </c>
      <c r="H22" s="7"/>
      <c r="I22" s="7">
        <v>28.6</v>
      </c>
      <c r="J22" s="7"/>
      <c r="K22" s="7"/>
      <c r="L22" s="7"/>
      <c r="M22" s="7">
        <v>21.6</v>
      </c>
      <c r="N22" s="7"/>
      <c r="O22" s="7"/>
      <c r="P22" s="7"/>
      <c r="Q22" s="7"/>
      <c r="R22" s="7"/>
      <c r="S22" s="7"/>
      <c r="T22" s="8">
        <f t="shared" si="1"/>
        <v>82.96350000000001</v>
      </c>
    </row>
    <row r="23" spans="1:20" s="9" customFormat="1">
      <c r="A23" s="6">
        <v>20</v>
      </c>
      <c r="B23" s="7">
        <v>87.56</v>
      </c>
      <c r="C23" s="7">
        <v>87.07</v>
      </c>
      <c r="D23" s="23">
        <f t="shared" si="0"/>
        <v>0.4165000000000077</v>
      </c>
      <c r="E23" s="7">
        <v>9</v>
      </c>
      <c r="F23" s="7">
        <v>27</v>
      </c>
      <c r="G23" s="7">
        <v>14</v>
      </c>
      <c r="H23" s="7"/>
      <c r="I23" s="12"/>
      <c r="J23" s="7"/>
      <c r="K23" s="7"/>
      <c r="L23" s="7">
        <v>2.0699999999999998</v>
      </c>
      <c r="M23" s="7"/>
      <c r="N23" s="7"/>
      <c r="O23" s="7"/>
      <c r="P23" s="24">
        <v>89</v>
      </c>
      <c r="Q23" s="7"/>
      <c r="R23" s="7">
        <v>39.950000000000003</v>
      </c>
      <c r="S23" s="7"/>
      <c r="T23" s="8">
        <f t="shared" si="1"/>
        <v>181.43650000000002</v>
      </c>
    </row>
    <row r="24" spans="1:20" s="9" customFormat="1">
      <c r="A24" s="6">
        <v>21</v>
      </c>
      <c r="B24" s="7">
        <v>87.07</v>
      </c>
      <c r="C24" s="7">
        <v>86.75</v>
      </c>
      <c r="D24" s="23">
        <f t="shared" si="0"/>
        <v>0.27199999999999419</v>
      </c>
      <c r="E24" s="7"/>
      <c r="F24" s="7">
        <v>12</v>
      </c>
      <c r="G24" s="7">
        <v>14</v>
      </c>
      <c r="H24" s="7"/>
      <c r="I24" s="7"/>
      <c r="J24" s="7"/>
      <c r="K24" s="7"/>
      <c r="L24" s="7"/>
      <c r="M24" s="28">
        <v>88.9</v>
      </c>
      <c r="N24" s="7"/>
      <c r="O24" s="7"/>
      <c r="P24" s="10"/>
      <c r="Q24" s="7"/>
      <c r="R24" s="7"/>
      <c r="S24" s="7"/>
      <c r="T24" s="8">
        <f t="shared" si="1"/>
        <v>115.172</v>
      </c>
    </row>
    <row r="25" spans="1:20" s="9" customFormat="1">
      <c r="A25" s="6">
        <v>22</v>
      </c>
      <c r="B25" s="7">
        <v>86.75</v>
      </c>
      <c r="C25" s="7">
        <v>86.37</v>
      </c>
      <c r="D25" s="23">
        <f t="shared" si="0"/>
        <v>0.32299999999999612</v>
      </c>
      <c r="E25" s="7"/>
      <c r="F25" s="7">
        <v>15</v>
      </c>
      <c r="G25" s="7">
        <v>14</v>
      </c>
      <c r="H25" s="7"/>
      <c r="I25" s="7"/>
      <c r="J25" s="7">
        <v>11</v>
      </c>
      <c r="K25" s="7"/>
      <c r="L25" s="7"/>
      <c r="M25" s="7"/>
      <c r="N25" s="7"/>
      <c r="O25" s="7"/>
      <c r="P25" s="10"/>
      <c r="Q25" s="7"/>
      <c r="R25" s="7"/>
      <c r="S25" s="7"/>
      <c r="T25" s="8">
        <f t="shared" si="1"/>
        <v>40.322999999999993</v>
      </c>
    </row>
    <row r="26" spans="1:20" s="9" customFormat="1">
      <c r="A26" s="6">
        <v>23</v>
      </c>
      <c r="B26" s="7">
        <v>86.37</v>
      </c>
      <c r="C26" s="7"/>
      <c r="D26" s="23">
        <f t="shared" si="0"/>
        <v>73.414500000000004</v>
      </c>
      <c r="E26" s="7"/>
      <c r="F26" s="7">
        <v>14</v>
      </c>
      <c r="G26" s="7">
        <v>14</v>
      </c>
      <c r="H26" s="7"/>
      <c r="I26" s="7"/>
      <c r="J26" s="7">
        <v>11</v>
      </c>
      <c r="K26" s="7"/>
      <c r="L26" s="7"/>
      <c r="M26" s="7"/>
      <c r="N26" s="7"/>
      <c r="O26" s="7"/>
      <c r="P26" s="7"/>
      <c r="Q26" s="7"/>
      <c r="R26" s="10">
        <v>188</v>
      </c>
      <c r="S26" s="7"/>
      <c r="T26" s="8">
        <f t="shared" si="1"/>
        <v>300.41449999999998</v>
      </c>
    </row>
    <row r="27" spans="1:20" s="9" customFormat="1">
      <c r="A27" s="6">
        <v>24</v>
      </c>
      <c r="B27" s="7"/>
      <c r="C27" s="7"/>
      <c r="D27" s="23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>
        <f t="shared" si="1"/>
        <v>0</v>
      </c>
    </row>
    <row r="28" spans="1:20" s="9" customFormat="1">
      <c r="A28" s="6">
        <v>25</v>
      </c>
      <c r="B28" s="7"/>
      <c r="C28" s="7"/>
      <c r="D28" s="23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10"/>
      <c r="N28" s="12"/>
      <c r="O28" s="7"/>
      <c r="P28" s="7"/>
      <c r="Q28" s="7"/>
      <c r="R28" s="12"/>
      <c r="S28" s="7"/>
      <c r="T28" s="8">
        <f t="shared" si="1"/>
        <v>0</v>
      </c>
    </row>
    <row r="29" spans="1:20" s="9" customFormat="1">
      <c r="A29" s="6">
        <v>26</v>
      </c>
      <c r="B29" s="7"/>
      <c r="C29" s="7"/>
      <c r="D29" s="23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f t="shared" si="1"/>
        <v>0</v>
      </c>
    </row>
    <row r="30" spans="1:20" s="9" customFormat="1">
      <c r="A30" s="6">
        <v>27</v>
      </c>
      <c r="B30" s="7"/>
      <c r="C30" s="7"/>
      <c r="D30" s="23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10"/>
      <c r="N30" s="7"/>
      <c r="O30" s="7"/>
      <c r="P30" s="7"/>
      <c r="Q30" s="7"/>
      <c r="R30" s="7"/>
      <c r="S30" s="7"/>
      <c r="T30" s="8">
        <f t="shared" si="1"/>
        <v>0</v>
      </c>
    </row>
    <row r="31" spans="1:20" s="9" customFormat="1">
      <c r="A31" s="6">
        <v>28</v>
      </c>
      <c r="B31" s="7"/>
      <c r="C31" s="7"/>
      <c r="D31" s="23">
        <f t="shared" si="0"/>
        <v>0</v>
      </c>
      <c r="E31" s="7"/>
      <c r="F31" s="7"/>
      <c r="G31" s="7"/>
      <c r="H31" s="7"/>
      <c r="I31" s="10"/>
      <c r="J31" s="7"/>
      <c r="K31" s="7"/>
      <c r="L31" s="7"/>
      <c r="M31" s="12"/>
      <c r="N31" s="7"/>
      <c r="O31" s="7"/>
      <c r="P31" s="7"/>
      <c r="Q31" s="7"/>
      <c r="R31" s="7"/>
      <c r="S31" s="7"/>
      <c r="T31" s="8">
        <f t="shared" si="1"/>
        <v>0</v>
      </c>
    </row>
    <row r="32" spans="1:20" s="9" customFormat="1">
      <c r="A32" s="6">
        <v>29</v>
      </c>
      <c r="B32" s="7"/>
      <c r="C32" s="7"/>
      <c r="D32" s="23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f t="shared" si="1"/>
        <v>0</v>
      </c>
    </row>
    <row r="33" spans="1:20" s="9" customFormat="1">
      <c r="A33" s="6">
        <v>30</v>
      </c>
      <c r="B33" s="7"/>
      <c r="C33" s="7"/>
      <c r="D33" s="23">
        <f t="shared" si="0"/>
        <v>0</v>
      </c>
      <c r="E33" s="7"/>
      <c r="F33" s="7"/>
      <c r="G33" s="7"/>
      <c r="H33" s="7"/>
      <c r="I33" s="10"/>
      <c r="J33" s="7"/>
      <c r="K33" s="7"/>
      <c r="L33" s="7"/>
      <c r="N33" s="7"/>
      <c r="O33" s="7"/>
      <c r="P33" s="7"/>
      <c r="Q33" s="7"/>
      <c r="R33" s="10"/>
      <c r="S33" s="7"/>
      <c r="T33" s="8">
        <f t="shared" si="1"/>
        <v>0</v>
      </c>
    </row>
    <row r="34" spans="1:20" s="9" customFormat="1">
      <c r="A34" s="6">
        <v>31</v>
      </c>
      <c r="B34" s="7"/>
      <c r="C34" s="7"/>
      <c r="D34" s="23">
        <f t="shared" si="0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f t="shared" si="1"/>
        <v>0</v>
      </c>
    </row>
    <row r="35" spans="1:20" s="13" customFormat="1" ht="14">
      <c r="A35" s="16" t="s">
        <v>28</v>
      </c>
      <c r="B35" s="14"/>
      <c r="C35" s="14"/>
      <c r="D35" s="7">
        <f>SUM(D4:D34)</f>
        <v>81.855000000000004</v>
      </c>
      <c r="E35" s="7">
        <f t="shared" ref="E35:T35" si="2">SUM(E4:E34)</f>
        <v>60.5</v>
      </c>
      <c r="F35" s="7">
        <f t="shared" si="2"/>
        <v>524.5</v>
      </c>
      <c r="G35" s="7">
        <f t="shared" si="2"/>
        <v>476.3</v>
      </c>
      <c r="H35" s="7">
        <f t="shared" si="2"/>
        <v>0</v>
      </c>
      <c r="I35" s="7">
        <f t="shared" si="2"/>
        <v>111.6</v>
      </c>
      <c r="J35" s="7">
        <f t="shared" si="2"/>
        <v>228.35000000000002</v>
      </c>
      <c r="K35" s="7">
        <f t="shared" si="2"/>
        <v>88</v>
      </c>
      <c r="L35" s="7">
        <f t="shared" si="2"/>
        <v>7.6999999999999993</v>
      </c>
      <c r="M35" s="7">
        <f t="shared" si="2"/>
        <v>405.98</v>
      </c>
      <c r="N35" s="7">
        <f t="shared" si="2"/>
        <v>0</v>
      </c>
      <c r="O35" s="7">
        <f t="shared" si="2"/>
        <v>6627.69</v>
      </c>
      <c r="P35" s="7">
        <f t="shared" si="2"/>
        <v>347.1</v>
      </c>
      <c r="Q35" s="7">
        <f t="shared" si="2"/>
        <v>36.15</v>
      </c>
      <c r="R35" s="7">
        <f t="shared" si="2"/>
        <v>1100.5800000000002</v>
      </c>
      <c r="S35" s="7">
        <f t="shared" si="2"/>
        <v>0</v>
      </c>
      <c r="T35" s="7">
        <f t="shared" si="2"/>
        <v>10096.305000000002</v>
      </c>
    </row>
    <row r="36" spans="1:20">
      <c r="A36" s="16" t="s">
        <v>29</v>
      </c>
      <c r="D36" s="7">
        <f>D35</f>
        <v>81.855000000000004</v>
      </c>
      <c r="E36" s="46">
        <f>SUM(E35:J35)</f>
        <v>1401.25</v>
      </c>
      <c r="F36" s="47"/>
      <c r="G36" s="47"/>
      <c r="H36" s="47"/>
      <c r="I36" s="47"/>
      <c r="J36" s="48"/>
      <c r="K36" s="46">
        <f>SUM(K35:L35)</f>
        <v>95.7</v>
      </c>
      <c r="L36" s="48"/>
      <c r="M36" s="46">
        <f>SUM(M35:R35)</f>
        <v>8517.5</v>
      </c>
      <c r="N36" s="47"/>
      <c r="O36" s="47"/>
      <c r="P36" s="47"/>
      <c r="Q36" s="47"/>
      <c r="R36" s="48"/>
      <c r="S36" s="7">
        <f>S35</f>
        <v>0</v>
      </c>
      <c r="T36" s="7">
        <f>SUM(D36:S36)</f>
        <v>10096.305</v>
      </c>
    </row>
    <row r="38" spans="1:20">
      <c r="A38" s="49" t="s">
        <v>26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</row>
    <row r="40" spans="1:20">
      <c r="A40" s="5" t="s">
        <v>30</v>
      </c>
      <c r="B40" s="5" t="s">
        <v>31</v>
      </c>
      <c r="C40" s="5" t="s">
        <v>32</v>
      </c>
      <c r="D40" s="5" t="s">
        <v>30</v>
      </c>
      <c r="E40" s="5" t="s">
        <v>31</v>
      </c>
      <c r="F40" s="5" t="s">
        <v>32</v>
      </c>
    </row>
    <row r="41" spans="1:20">
      <c r="A41" s="17" t="s">
        <v>1</v>
      </c>
      <c r="B41" s="5" t="s">
        <v>7</v>
      </c>
      <c r="C41" s="7">
        <f>D35</f>
        <v>81.855000000000004</v>
      </c>
      <c r="D41" s="18" t="s">
        <v>1</v>
      </c>
      <c r="E41" s="5" t="s">
        <v>7</v>
      </c>
      <c r="F41" s="7">
        <f>C41</f>
        <v>81.855000000000004</v>
      </c>
    </row>
    <row r="42" spans="1:20">
      <c r="A42" s="43" t="s">
        <v>2</v>
      </c>
      <c r="B42" s="5" t="s">
        <v>33</v>
      </c>
      <c r="C42" s="7">
        <f>E35</f>
        <v>60.5</v>
      </c>
      <c r="D42" s="18" t="s">
        <v>2</v>
      </c>
      <c r="E42" s="5" t="s">
        <v>2</v>
      </c>
      <c r="F42" s="7">
        <f>SUM(C42:C47)</f>
        <v>1401.25</v>
      </c>
    </row>
    <row r="43" spans="1:20">
      <c r="A43" s="44"/>
      <c r="B43" s="5" t="s">
        <v>34</v>
      </c>
      <c r="C43" s="7">
        <f>F35</f>
        <v>524.5</v>
      </c>
      <c r="D43" s="18" t="s">
        <v>3</v>
      </c>
      <c r="E43" s="5" t="s">
        <v>3</v>
      </c>
      <c r="F43" s="7">
        <f>SUM(C48:C49)</f>
        <v>95.7</v>
      </c>
    </row>
    <row r="44" spans="1:20">
      <c r="A44" s="44"/>
      <c r="B44" s="5" t="s">
        <v>35</v>
      </c>
      <c r="C44" s="7">
        <f>G35</f>
        <v>476.3</v>
      </c>
      <c r="D44" s="18" t="s">
        <v>4</v>
      </c>
      <c r="E44" s="5" t="s">
        <v>4</v>
      </c>
      <c r="F44" s="7">
        <f>SUM(C50:C55)</f>
        <v>8517.5</v>
      </c>
    </row>
    <row r="45" spans="1:20">
      <c r="A45" s="44"/>
      <c r="B45" s="5" t="s">
        <v>9</v>
      </c>
      <c r="C45" s="7">
        <f>H35</f>
        <v>0</v>
      </c>
      <c r="D45" s="18" t="s">
        <v>5</v>
      </c>
      <c r="E45" s="5" t="s">
        <v>5</v>
      </c>
      <c r="F45" s="7">
        <f>C56</f>
        <v>0</v>
      </c>
    </row>
    <row r="46" spans="1:20">
      <c r="A46" s="44"/>
      <c r="B46" s="5" t="s">
        <v>10</v>
      </c>
      <c r="C46" s="7">
        <f>I35</f>
        <v>111.6</v>
      </c>
      <c r="D46" s="18"/>
      <c r="E46" s="5"/>
    </row>
    <row r="47" spans="1:20">
      <c r="A47" s="45"/>
      <c r="B47" s="5" t="s">
        <v>11</v>
      </c>
      <c r="C47" s="7">
        <f>J35</f>
        <v>228.35000000000002</v>
      </c>
    </row>
    <row r="48" spans="1:20">
      <c r="A48" s="43" t="s">
        <v>3</v>
      </c>
      <c r="B48" s="5" t="s">
        <v>12</v>
      </c>
      <c r="C48" s="7">
        <f>K35</f>
        <v>88</v>
      </c>
    </row>
    <row r="49" spans="1:5">
      <c r="A49" s="45"/>
      <c r="B49" s="5" t="s">
        <v>36</v>
      </c>
      <c r="C49" s="7">
        <f>L35</f>
        <v>7.6999999999999993</v>
      </c>
    </row>
    <row r="50" spans="1:5">
      <c r="A50" s="43" t="s">
        <v>4</v>
      </c>
      <c r="B50" s="5" t="s">
        <v>14</v>
      </c>
      <c r="C50" s="7">
        <f>M35</f>
        <v>405.98</v>
      </c>
    </row>
    <row r="51" spans="1:5">
      <c r="A51" s="44"/>
      <c r="B51" s="5" t="s">
        <v>15</v>
      </c>
      <c r="C51" s="7">
        <f>N35</f>
        <v>0</v>
      </c>
    </row>
    <row r="52" spans="1:5">
      <c r="A52" s="44"/>
      <c r="B52" s="5" t="s">
        <v>16</v>
      </c>
      <c r="C52" s="7">
        <f>O35</f>
        <v>6627.69</v>
      </c>
    </row>
    <row r="53" spans="1:5">
      <c r="A53" s="44"/>
      <c r="B53" s="5" t="s">
        <v>17</v>
      </c>
      <c r="C53" s="7">
        <f>P35</f>
        <v>347.1</v>
      </c>
    </row>
    <row r="54" spans="1:5">
      <c r="A54" s="44"/>
      <c r="B54" s="5" t="s">
        <v>18</v>
      </c>
      <c r="C54" s="7">
        <f>Q35</f>
        <v>36.15</v>
      </c>
    </row>
    <row r="55" spans="1:5">
      <c r="A55" s="45"/>
      <c r="B55" s="5" t="s">
        <v>19</v>
      </c>
      <c r="C55" s="7">
        <f>R35</f>
        <v>1100.5800000000002</v>
      </c>
    </row>
    <row r="56" spans="1:5">
      <c r="A56" s="2" t="s">
        <v>5</v>
      </c>
      <c r="B56" s="5" t="s">
        <v>27</v>
      </c>
      <c r="C56" s="7">
        <f>S35</f>
        <v>0</v>
      </c>
    </row>
    <row r="57" spans="1:5">
      <c r="A57" s="46" t="s">
        <v>37</v>
      </c>
      <c r="B57" s="47"/>
      <c r="C57" s="47"/>
      <c r="D57" s="47"/>
      <c r="E57" s="48"/>
    </row>
  </sheetData>
  <mergeCells count="27">
    <mergeCell ref="A42:A47"/>
    <mergeCell ref="A48:A49"/>
    <mergeCell ref="A50:A55"/>
    <mergeCell ref="A57:E57"/>
    <mergeCell ref="Q2:Q3"/>
    <mergeCell ref="A38:S38"/>
    <mergeCell ref="E36:J36"/>
    <mergeCell ref="K36:L36"/>
    <mergeCell ref="M36:R36"/>
    <mergeCell ref="K2:K3"/>
    <mergeCell ref="L2:L3"/>
    <mergeCell ref="M2:M3"/>
    <mergeCell ref="N2:N3"/>
    <mergeCell ref="O2:O3"/>
    <mergeCell ref="P2:P3"/>
    <mergeCell ref="B1:D1"/>
    <mergeCell ref="E1:J1"/>
    <mergeCell ref="K1:L1"/>
    <mergeCell ref="M1:R1"/>
    <mergeCell ref="T1:T3"/>
    <mergeCell ref="B2:D2"/>
    <mergeCell ref="E2:G2"/>
    <mergeCell ref="H2:H3"/>
    <mergeCell ref="I2:I3"/>
    <mergeCell ref="J2:J3"/>
    <mergeCell ref="R2:R3"/>
    <mergeCell ref="S2:S3"/>
  </mergeCells>
  <phoneticPr fontId="1" type="noConversion"/>
  <conditionalFormatting sqref="T4:T16 T18:T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{093B0B1B-ADB7-4549-AC89-20BDF6A18F6C}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{853070D6-D55F-4CBB-A2F6-FF3509EE55F2}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T35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B0B1B-ADB7-4549-AC89-20BDF6A18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3070D6-D55F-4CBB-A2F6-FF3509EE5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T4:T16 T18:T34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topLeftCell="D15" zoomScale="150" zoomScaleNormal="150" workbookViewId="0">
      <selection activeCell="J26" sqref="J26"/>
    </sheetView>
  </sheetViews>
  <sheetFormatPr defaultColWidth="10.6328125" defaultRowHeight="14.5"/>
  <cols>
    <col min="1" max="4" width="10.6328125" style="15"/>
    <col min="5" max="5" width="21.6328125" style="15" customWidth="1"/>
    <col min="6" max="6" width="25.6328125" style="15" customWidth="1"/>
    <col min="7" max="7" width="27.6328125" style="15" customWidth="1"/>
    <col min="8" max="8" width="12.6328125" style="15" customWidth="1"/>
    <col min="9" max="9" width="25.6328125" style="15" customWidth="1"/>
    <col min="10" max="10" width="22.6328125" style="15" customWidth="1"/>
    <col min="11" max="11" width="25.6328125" style="15" customWidth="1"/>
    <col min="12" max="12" width="15.6328125" style="15" customWidth="1"/>
    <col min="13" max="13" width="24.6328125" style="15" customWidth="1"/>
    <col min="14" max="14" width="12.6328125" style="15" customWidth="1"/>
    <col min="15" max="15" width="24.6328125" style="15" customWidth="1"/>
    <col min="16" max="17" width="18.6328125" style="15" customWidth="1"/>
    <col min="18" max="18" width="22.6328125" style="15" customWidth="1"/>
    <col min="19" max="19" width="28.6328125" style="15" customWidth="1"/>
    <col min="20" max="20" width="15.6328125" style="15" customWidth="1"/>
    <col min="21" max="16384" width="10.6328125" style="15"/>
  </cols>
  <sheetData>
    <row r="1" spans="1:20" s="3" customFormat="1" ht="26">
      <c r="A1" s="1" t="s">
        <v>0</v>
      </c>
      <c r="B1" s="29" t="s">
        <v>1</v>
      </c>
      <c r="C1" s="30"/>
      <c r="D1" s="31"/>
      <c r="E1" s="29" t="s">
        <v>2</v>
      </c>
      <c r="F1" s="30"/>
      <c r="G1" s="30"/>
      <c r="H1" s="30"/>
      <c r="I1" s="30"/>
      <c r="J1" s="31"/>
      <c r="K1" s="29" t="s">
        <v>3</v>
      </c>
      <c r="L1" s="31"/>
      <c r="M1" s="29" t="s">
        <v>4</v>
      </c>
      <c r="N1" s="30"/>
      <c r="O1" s="30"/>
      <c r="P1" s="30"/>
      <c r="Q1" s="30"/>
      <c r="R1" s="31"/>
      <c r="S1" s="2" t="s">
        <v>5</v>
      </c>
      <c r="T1" s="2"/>
    </row>
    <row r="2" spans="1:20" s="4" customFormat="1" ht="13">
      <c r="B2" s="35" t="s">
        <v>7</v>
      </c>
      <c r="C2" s="36"/>
      <c r="D2" s="37"/>
      <c r="E2" s="38" t="s">
        <v>8</v>
      </c>
      <c r="F2" s="39"/>
      <c r="G2" s="40"/>
      <c r="H2" s="41" t="s">
        <v>9</v>
      </c>
      <c r="I2" s="41" t="s">
        <v>10</v>
      </c>
      <c r="J2" s="41" t="s">
        <v>11</v>
      </c>
      <c r="K2" s="41" t="s">
        <v>12</v>
      </c>
      <c r="L2" s="41" t="s">
        <v>38</v>
      </c>
      <c r="M2" s="41" t="s">
        <v>14</v>
      </c>
      <c r="N2" s="41" t="s">
        <v>15</v>
      </c>
      <c r="O2" s="41" t="s">
        <v>16</v>
      </c>
      <c r="P2" s="41" t="s">
        <v>17</v>
      </c>
      <c r="Q2" s="41" t="s">
        <v>18</v>
      </c>
      <c r="R2" s="41" t="s">
        <v>19</v>
      </c>
      <c r="S2" s="41" t="s">
        <v>39</v>
      </c>
      <c r="T2" s="41"/>
    </row>
    <row r="3" spans="1:20" s="4" customFormat="1" ht="13">
      <c r="B3" s="5" t="s">
        <v>40</v>
      </c>
      <c r="C3" s="5" t="s">
        <v>41</v>
      </c>
      <c r="D3" s="5" t="s">
        <v>22</v>
      </c>
      <c r="E3" s="5" t="s">
        <v>23</v>
      </c>
      <c r="F3" s="5" t="s">
        <v>24</v>
      </c>
      <c r="G3" s="5" t="s">
        <v>25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s="9" customFormat="1" ht="36">
      <c r="A4" s="6">
        <v>1</v>
      </c>
      <c r="B4" s="19" t="s">
        <v>42</v>
      </c>
      <c r="C4" s="19" t="s">
        <v>42</v>
      </c>
      <c r="D4" s="19"/>
      <c r="E4" s="19"/>
      <c r="F4" s="19" t="s">
        <v>44</v>
      </c>
      <c r="G4" s="19" t="s">
        <v>47</v>
      </c>
      <c r="H4" s="19"/>
      <c r="I4" s="19" t="s">
        <v>48</v>
      </c>
      <c r="J4" s="19" t="s">
        <v>46</v>
      </c>
      <c r="K4" s="20" t="s">
        <v>49</v>
      </c>
      <c r="L4" s="19"/>
      <c r="M4" s="20" t="s">
        <v>45</v>
      </c>
      <c r="N4" s="19"/>
      <c r="O4" s="19"/>
      <c r="P4" s="19"/>
      <c r="Q4" s="19"/>
      <c r="R4" s="19"/>
      <c r="S4" s="19"/>
      <c r="T4" s="19"/>
    </row>
    <row r="5" spans="1:20" s="9" customFormat="1" ht="36">
      <c r="A5" s="6">
        <v>2</v>
      </c>
      <c r="B5" s="19" t="s">
        <v>42</v>
      </c>
      <c r="C5" s="19" t="s">
        <v>42</v>
      </c>
      <c r="D5" s="19"/>
      <c r="E5" s="19" t="s">
        <v>50</v>
      </c>
      <c r="F5" s="19" t="s">
        <v>52</v>
      </c>
      <c r="G5" s="20" t="s">
        <v>53</v>
      </c>
      <c r="H5" s="19"/>
      <c r="I5" s="20" t="s">
        <v>54</v>
      </c>
      <c r="J5" s="19"/>
      <c r="K5" s="20" t="s">
        <v>55</v>
      </c>
      <c r="L5" s="19"/>
      <c r="M5" s="19"/>
      <c r="N5" s="19"/>
      <c r="O5" s="19"/>
      <c r="P5" s="19"/>
      <c r="Q5" s="19"/>
      <c r="R5" s="19" t="s">
        <v>51</v>
      </c>
      <c r="S5" s="19"/>
      <c r="T5" s="19"/>
    </row>
    <row r="6" spans="1:20" s="9" customFormat="1" ht="36">
      <c r="A6" s="6">
        <v>3</v>
      </c>
      <c r="B6" s="19" t="s">
        <v>42</v>
      </c>
      <c r="C6" s="19" t="s">
        <v>42</v>
      </c>
      <c r="D6" s="19"/>
      <c r="E6" s="19" t="s">
        <v>56</v>
      </c>
      <c r="F6" s="20" t="s">
        <v>57</v>
      </c>
      <c r="G6" s="19" t="s">
        <v>58</v>
      </c>
      <c r="H6" s="19"/>
      <c r="I6" s="19"/>
      <c r="J6" s="19"/>
      <c r="K6" s="20" t="s">
        <v>59</v>
      </c>
      <c r="L6" s="19" t="s">
        <v>60</v>
      </c>
      <c r="M6" s="19"/>
      <c r="N6" s="19"/>
      <c r="O6" s="19"/>
      <c r="P6" s="19"/>
      <c r="Q6" s="19"/>
      <c r="R6" s="20"/>
      <c r="S6" s="19"/>
      <c r="T6" s="19"/>
    </row>
    <row r="7" spans="1:20" s="9" customFormat="1">
      <c r="A7" s="6">
        <v>4</v>
      </c>
      <c r="B7" s="19" t="s">
        <v>42</v>
      </c>
      <c r="C7" s="19" t="s">
        <v>42</v>
      </c>
      <c r="D7" s="19"/>
      <c r="E7" s="19"/>
      <c r="F7" s="19" t="s">
        <v>61</v>
      </c>
      <c r="G7" s="20" t="s">
        <v>62</v>
      </c>
      <c r="H7" s="19"/>
      <c r="I7" s="19"/>
      <c r="J7" s="19"/>
      <c r="K7" s="20"/>
      <c r="L7" s="19"/>
      <c r="M7" s="19"/>
      <c r="N7" s="19"/>
      <c r="O7" s="19"/>
      <c r="P7" s="19"/>
      <c r="S7" s="19"/>
      <c r="T7" s="19"/>
    </row>
    <row r="8" spans="1:20" s="9" customFormat="1" ht="24">
      <c r="A8" s="6">
        <v>5</v>
      </c>
      <c r="B8" s="19" t="s">
        <v>42</v>
      </c>
      <c r="C8" s="19" t="s">
        <v>42</v>
      </c>
      <c r="D8" s="19"/>
      <c r="E8" s="19"/>
      <c r="F8" s="19" t="s">
        <v>63</v>
      </c>
      <c r="G8" s="20" t="s">
        <v>65</v>
      </c>
      <c r="H8" s="19"/>
      <c r="I8" s="19"/>
      <c r="J8" s="20" t="s">
        <v>66</v>
      </c>
      <c r="K8" s="19"/>
      <c r="L8" s="19"/>
      <c r="M8" s="20"/>
      <c r="N8" s="19"/>
      <c r="O8" s="19"/>
      <c r="P8" s="19"/>
      <c r="Q8" s="19"/>
      <c r="R8" s="20" t="s">
        <v>64</v>
      </c>
      <c r="S8" s="19"/>
      <c r="T8" s="19"/>
    </row>
    <row r="9" spans="1:20" s="9" customFormat="1">
      <c r="A9" s="6">
        <v>6</v>
      </c>
      <c r="B9" s="19" t="s">
        <v>42</v>
      </c>
      <c r="C9" s="19" t="s">
        <v>42</v>
      </c>
      <c r="D9" s="19"/>
      <c r="E9" s="19"/>
      <c r="F9" s="19" t="s">
        <v>67</v>
      </c>
      <c r="G9" s="19" t="s">
        <v>68</v>
      </c>
      <c r="H9" s="19"/>
      <c r="I9" s="19"/>
      <c r="J9" s="19" t="s">
        <v>69</v>
      </c>
      <c r="K9" s="19"/>
      <c r="L9" s="20"/>
      <c r="M9" s="19"/>
      <c r="N9" s="19"/>
      <c r="O9" s="20"/>
      <c r="P9" s="19"/>
      <c r="Q9" s="19"/>
      <c r="R9" s="19"/>
      <c r="S9" s="19"/>
      <c r="T9" s="19"/>
    </row>
    <row r="10" spans="1:20" s="9" customFormat="1">
      <c r="A10" s="6">
        <v>7</v>
      </c>
      <c r="B10" s="19" t="s">
        <v>42</v>
      </c>
      <c r="C10" s="19" t="s">
        <v>42</v>
      </c>
      <c r="D10" s="19"/>
      <c r="E10" s="19"/>
      <c r="F10" s="19" t="s">
        <v>70</v>
      </c>
      <c r="G10" s="19" t="s">
        <v>72</v>
      </c>
      <c r="H10" s="19"/>
      <c r="I10" s="19"/>
      <c r="J10" s="19"/>
      <c r="K10" s="19"/>
      <c r="L10" s="19"/>
      <c r="M10" s="19" t="s">
        <v>71</v>
      </c>
      <c r="N10" s="19"/>
      <c r="O10" s="19"/>
      <c r="P10" s="19"/>
      <c r="Q10" s="19"/>
      <c r="R10" s="20" t="s">
        <v>128</v>
      </c>
      <c r="S10" s="19"/>
      <c r="T10" s="19"/>
    </row>
    <row r="11" spans="1:20" s="9" customFormat="1">
      <c r="A11" s="6">
        <v>8</v>
      </c>
      <c r="B11" s="19" t="s">
        <v>42</v>
      </c>
      <c r="C11" s="19" t="s">
        <v>42</v>
      </c>
      <c r="D11" s="19"/>
      <c r="E11" s="19"/>
      <c r="F11" s="19" t="s">
        <v>73</v>
      </c>
      <c r="G11" s="19" t="s">
        <v>74</v>
      </c>
      <c r="H11" s="19"/>
      <c r="I11" s="19"/>
      <c r="J11" s="19"/>
      <c r="K11" s="20"/>
      <c r="L11" s="19" t="s">
        <v>60</v>
      </c>
      <c r="M11" s="19"/>
      <c r="N11" s="19"/>
      <c r="O11" s="19"/>
      <c r="P11" s="19"/>
      <c r="Q11" s="20"/>
      <c r="R11" s="25" t="s">
        <v>75</v>
      </c>
      <c r="S11" s="19"/>
      <c r="T11" s="19"/>
    </row>
    <row r="12" spans="1:20" s="9" customFormat="1">
      <c r="A12" s="6">
        <v>9</v>
      </c>
      <c r="B12" s="19" t="s">
        <v>42</v>
      </c>
      <c r="C12" s="19" t="s">
        <v>42</v>
      </c>
      <c r="D12" s="19"/>
      <c r="E12" s="19"/>
      <c r="F12" s="19" t="s">
        <v>76</v>
      </c>
      <c r="G12" s="20" t="s">
        <v>77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s="9" customFormat="1" ht="36">
      <c r="A13" s="6">
        <v>10</v>
      </c>
      <c r="B13" s="19" t="s">
        <v>42</v>
      </c>
      <c r="C13" s="19" t="s">
        <v>42</v>
      </c>
      <c r="D13" s="19"/>
      <c r="E13" s="20" t="s">
        <v>78</v>
      </c>
      <c r="F13" s="19" t="s">
        <v>80</v>
      </c>
      <c r="G13" s="19" t="s">
        <v>82</v>
      </c>
      <c r="H13" s="19"/>
      <c r="I13" s="19" t="s">
        <v>81</v>
      </c>
      <c r="J13" s="20" t="s">
        <v>86</v>
      </c>
      <c r="K13" s="19" t="s">
        <v>79</v>
      </c>
      <c r="L13" s="19"/>
      <c r="M13" s="19" t="s">
        <v>87</v>
      </c>
      <c r="N13" s="19"/>
      <c r="O13" s="19"/>
      <c r="P13" s="19"/>
      <c r="Q13" s="19"/>
      <c r="R13" s="20" t="s">
        <v>83</v>
      </c>
      <c r="S13" s="19"/>
      <c r="T13" s="19"/>
    </row>
    <row r="14" spans="1:20" s="9" customFormat="1" ht="24">
      <c r="A14" s="6">
        <v>11</v>
      </c>
      <c r="B14" s="19" t="s">
        <v>42</v>
      </c>
      <c r="C14" s="19" t="s">
        <v>42</v>
      </c>
      <c r="D14" s="19"/>
      <c r="E14" s="20" t="s">
        <v>85</v>
      </c>
      <c r="F14" s="19" t="s">
        <v>89</v>
      </c>
      <c r="G14" s="20" t="s">
        <v>90</v>
      </c>
      <c r="H14" s="19"/>
      <c r="I14" s="19"/>
      <c r="J14" s="19" t="s">
        <v>91</v>
      </c>
      <c r="K14" s="19" t="s">
        <v>84</v>
      </c>
      <c r="L14" s="19"/>
      <c r="M14" s="19" t="s">
        <v>88</v>
      </c>
      <c r="N14" s="19"/>
      <c r="O14" s="19"/>
      <c r="P14" s="25"/>
      <c r="Q14" s="19"/>
      <c r="R14" s="19"/>
      <c r="S14" s="19"/>
      <c r="T14" s="19"/>
    </row>
    <row r="15" spans="1:20" s="9" customFormat="1" ht="36">
      <c r="A15" s="6">
        <v>12</v>
      </c>
      <c r="B15" s="19" t="s">
        <v>42</v>
      </c>
      <c r="C15" s="19" t="s">
        <v>42</v>
      </c>
      <c r="D15" s="19"/>
      <c r="E15" s="19" t="s">
        <v>92</v>
      </c>
      <c r="F15" s="19" t="s">
        <v>94</v>
      </c>
      <c r="G15" s="19" t="s">
        <v>72</v>
      </c>
      <c r="H15" s="19"/>
      <c r="I15" s="19"/>
      <c r="J15" s="19" t="s">
        <v>95</v>
      </c>
      <c r="K15" s="19" t="s">
        <v>93</v>
      </c>
      <c r="L15" s="20"/>
      <c r="M15" s="19"/>
      <c r="N15" s="19"/>
      <c r="O15" s="19"/>
      <c r="P15" s="20" t="s">
        <v>98</v>
      </c>
      <c r="Q15" s="19"/>
      <c r="R15" s="19"/>
      <c r="S15" s="19"/>
      <c r="T15" s="19"/>
    </row>
    <row r="16" spans="1:20" s="9" customFormat="1">
      <c r="A16" s="6">
        <v>13</v>
      </c>
      <c r="B16" s="19" t="s">
        <v>42</v>
      </c>
      <c r="C16" s="19" t="s">
        <v>42</v>
      </c>
      <c r="D16" s="19"/>
      <c r="E16" s="19"/>
      <c r="F16" s="19" t="s">
        <v>96</v>
      </c>
      <c r="G16" s="19" t="s">
        <v>97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s="9" customFormat="1" ht="24">
      <c r="A17" s="6">
        <v>14</v>
      </c>
      <c r="B17" s="19" t="s">
        <v>42</v>
      </c>
      <c r="C17" s="19" t="s">
        <v>42</v>
      </c>
      <c r="D17" s="19"/>
      <c r="E17" s="19"/>
      <c r="F17" s="19" t="s">
        <v>99</v>
      </c>
      <c r="G17" s="19" t="s">
        <v>100</v>
      </c>
      <c r="H17" s="19"/>
      <c r="I17" s="19"/>
      <c r="J17" s="19"/>
      <c r="K17" s="19"/>
      <c r="L17" s="19" t="s">
        <v>60</v>
      </c>
      <c r="M17" s="19" t="s">
        <v>102</v>
      </c>
      <c r="N17" s="19"/>
      <c r="O17" s="26" t="s">
        <v>101</v>
      </c>
      <c r="P17" s="19"/>
      <c r="Q17" s="19" t="s">
        <v>103</v>
      </c>
      <c r="R17" s="19"/>
      <c r="S17" s="19"/>
      <c r="T17" s="19"/>
    </row>
    <row r="18" spans="1:20" s="9" customFormat="1" ht="24">
      <c r="A18" s="6">
        <v>15</v>
      </c>
      <c r="B18" s="19" t="s">
        <v>42</v>
      </c>
      <c r="C18" s="19" t="s">
        <v>42</v>
      </c>
      <c r="D18" s="19"/>
      <c r="E18" s="19"/>
      <c r="F18" s="19" t="s">
        <v>104</v>
      </c>
      <c r="G18" s="20" t="s">
        <v>105</v>
      </c>
      <c r="H18" s="19"/>
      <c r="I18" s="19"/>
      <c r="J18" s="19"/>
      <c r="K18" s="19"/>
      <c r="L18" s="19"/>
      <c r="M18" s="20" t="s">
        <v>106</v>
      </c>
      <c r="N18" s="19"/>
      <c r="O18" s="19"/>
      <c r="P18" s="19"/>
      <c r="Q18" s="19"/>
      <c r="R18" s="19"/>
      <c r="S18" s="19"/>
      <c r="T18" s="19"/>
    </row>
    <row r="19" spans="1:20" s="9" customFormat="1" ht="36">
      <c r="A19" s="6">
        <v>16</v>
      </c>
      <c r="B19" s="19" t="s">
        <v>42</v>
      </c>
      <c r="C19" s="19" t="s">
        <v>42</v>
      </c>
      <c r="D19" s="19"/>
      <c r="E19" s="19"/>
      <c r="F19" s="19" t="s">
        <v>107</v>
      </c>
      <c r="G19" s="19" t="s">
        <v>61</v>
      </c>
      <c r="H19" s="19"/>
      <c r="I19" s="19"/>
      <c r="J19" s="20" t="s">
        <v>108</v>
      </c>
      <c r="K19" s="19"/>
      <c r="L19" s="19"/>
      <c r="M19" s="20"/>
      <c r="N19" s="19"/>
      <c r="O19" s="20" t="s">
        <v>109</v>
      </c>
      <c r="P19" s="19"/>
      <c r="Q19" s="19"/>
      <c r="R19" s="19"/>
      <c r="S19" s="19"/>
      <c r="T19" s="19"/>
    </row>
    <row r="20" spans="1:20" s="9" customFormat="1">
      <c r="A20" s="6">
        <v>17</v>
      </c>
      <c r="B20" s="19" t="s">
        <v>42</v>
      </c>
      <c r="C20" s="19" t="s">
        <v>42</v>
      </c>
      <c r="D20" s="19"/>
      <c r="E20" s="19"/>
      <c r="F20" s="20" t="s">
        <v>110</v>
      </c>
      <c r="G20" s="20" t="s">
        <v>112</v>
      </c>
      <c r="H20" s="19"/>
      <c r="I20" s="20"/>
      <c r="J20" s="19"/>
      <c r="K20" s="20"/>
      <c r="L20" s="20"/>
      <c r="M20" s="19"/>
      <c r="N20" s="19"/>
      <c r="O20" s="19"/>
      <c r="P20" s="19"/>
      <c r="Q20" s="20"/>
      <c r="R20" s="19" t="s">
        <v>111</v>
      </c>
      <c r="S20" s="19"/>
      <c r="T20" s="19"/>
    </row>
    <row r="21" spans="1:20" s="9" customFormat="1">
      <c r="A21" s="6">
        <v>18</v>
      </c>
      <c r="B21" s="19" t="s">
        <v>42</v>
      </c>
      <c r="C21" s="19" t="s">
        <v>42</v>
      </c>
      <c r="D21" s="19"/>
      <c r="E21" s="19"/>
      <c r="F21" s="19" t="s">
        <v>113</v>
      </c>
      <c r="G21" s="19" t="s">
        <v>115</v>
      </c>
      <c r="H21" s="19"/>
      <c r="I21" s="19"/>
      <c r="J21" s="19" t="s">
        <v>95</v>
      </c>
      <c r="K21" s="19"/>
      <c r="L21" s="19"/>
      <c r="M21" s="19"/>
      <c r="N21" s="19"/>
      <c r="O21" s="19"/>
      <c r="P21" s="19"/>
      <c r="Q21" s="19"/>
      <c r="R21" s="19" t="s">
        <v>114</v>
      </c>
      <c r="S21" s="19"/>
      <c r="T21" s="19"/>
    </row>
    <row r="22" spans="1:20" s="9" customFormat="1">
      <c r="A22" s="6">
        <v>19</v>
      </c>
      <c r="B22" s="19" t="s">
        <v>42</v>
      </c>
      <c r="C22" s="19" t="s">
        <v>42</v>
      </c>
      <c r="D22" s="19"/>
      <c r="E22" s="19"/>
      <c r="F22" s="19" t="s">
        <v>116</v>
      </c>
      <c r="G22" s="19" t="s">
        <v>72</v>
      </c>
      <c r="H22" s="19"/>
      <c r="I22" s="19" t="s">
        <v>117</v>
      </c>
      <c r="J22" s="19"/>
      <c r="K22" s="19"/>
      <c r="L22" s="19"/>
      <c r="M22" s="19" t="s">
        <v>71</v>
      </c>
      <c r="N22" s="19"/>
      <c r="O22" s="19"/>
      <c r="P22" s="19"/>
      <c r="Q22" s="19"/>
      <c r="R22" s="19"/>
      <c r="S22" s="19"/>
      <c r="T22" s="19"/>
    </row>
    <row r="23" spans="1:20" s="9" customFormat="1">
      <c r="A23" s="6">
        <v>20</v>
      </c>
      <c r="B23" s="19" t="s">
        <v>42</v>
      </c>
      <c r="C23" s="19" t="s">
        <v>42</v>
      </c>
      <c r="D23" s="19"/>
      <c r="E23" s="19" t="s">
        <v>118</v>
      </c>
      <c r="F23" s="19" t="s">
        <v>120</v>
      </c>
      <c r="G23" s="19" t="s">
        <v>122</v>
      </c>
      <c r="H23" s="19"/>
      <c r="I23" s="19"/>
      <c r="J23" s="19"/>
      <c r="K23" s="19"/>
      <c r="L23" s="19"/>
      <c r="M23" s="19"/>
      <c r="N23" s="19"/>
      <c r="O23" s="19"/>
      <c r="P23" s="19" t="s">
        <v>119</v>
      </c>
      <c r="Q23" s="19"/>
      <c r="R23" s="19" t="s">
        <v>121</v>
      </c>
      <c r="S23" s="19"/>
      <c r="T23" s="19"/>
    </row>
    <row r="24" spans="1:20" s="9" customFormat="1">
      <c r="A24" s="6">
        <v>21</v>
      </c>
      <c r="B24" s="19" t="s">
        <v>42</v>
      </c>
      <c r="C24" s="19" t="s">
        <v>42</v>
      </c>
      <c r="D24" s="19"/>
      <c r="E24" s="19"/>
      <c r="F24" s="20" t="s">
        <v>123</v>
      </c>
      <c r="G24" s="19" t="s">
        <v>125</v>
      </c>
      <c r="H24" s="19"/>
      <c r="I24" s="20"/>
      <c r="J24" s="19"/>
      <c r="K24" s="19"/>
      <c r="L24" s="19"/>
      <c r="M24" s="19" t="s">
        <v>124</v>
      </c>
      <c r="N24" s="19"/>
      <c r="O24" s="19"/>
      <c r="P24" s="19"/>
      <c r="Q24" s="19"/>
      <c r="R24" s="19"/>
      <c r="S24" s="19"/>
      <c r="T24" s="19"/>
    </row>
    <row r="25" spans="1:20" s="9" customFormat="1">
      <c r="A25" s="6">
        <v>22</v>
      </c>
      <c r="B25" s="19" t="s">
        <v>42</v>
      </c>
      <c r="C25" s="19" t="s">
        <v>42</v>
      </c>
      <c r="D25" s="19"/>
      <c r="E25" s="19"/>
      <c r="F25" s="19" t="s">
        <v>126</v>
      </c>
      <c r="G25" s="19" t="s">
        <v>127</v>
      </c>
      <c r="H25" s="19"/>
      <c r="I25" s="19"/>
      <c r="J25" s="19" t="s">
        <v>69</v>
      </c>
      <c r="K25" s="19"/>
      <c r="L25" s="20"/>
      <c r="M25" s="19"/>
      <c r="N25" s="19"/>
      <c r="O25" s="19"/>
      <c r="P25" s="19"/>
      <c r="Q25" s="19"/>
      <c r="R25" s="19"/>
      <c r="S25" s="19"/>
      <c r="T25" s="19"/>
    </row>
    <row r="26" spans="1:20" s="9" customFormat="1" ht="24">
      <c r="A26" s="6">
        <v>23</v>
      </c>
      <c r="B26" s="19" t="s">
        <v>42</v>
      </c>
      <c r="C26" s="19" t="s">
        <v>42</v>
      </c>
      <c r="D26" s="19"/>
      <c r="E26" s="19"/>
      <c r="F26" s="19" t="s">
        <v>127</v>
      </c>
      <c r="G26" s="20" t="s">
        <v>72</v>
      </c>
      <c r="H26" s="19"/>
      <c r="I26" s="19"/>
      <c r="J26" s="19" t="s">
        <v>130</v>
      </c>
      <c r="K26" s="19"/>
      <c r="L26" s="20"/>
      <c r="M26" s="19"/>
      <c r="N26" s="19"/>
      <c r="O26" s="19"/>
      <c r="P26" s="19"/>
      <c r="Q26" s="19"/>
      <c r="R26" s="20" t="s">
        <v>129</v>
      </c>
      <c r="S26" s="19"/>
      <c r="T26" s="19"/>
    </row>
    <row r="27" spans="1:20" s="9" customFormat="1">
      <c r="A27" s="6">
        <v>24</v>
      </c>
      <c r="B27" s="19" t="s">
        <v>42</v>
      </c>
      <c r="C27" s="19" t="s">
        <v>42</v>
      </c>
      <c r="D27" s="19"/>
      <c r="E27" s="19"/>
      <c r="F27" s="20"/>
      <c r="G27" s="20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s="9" customFormat="1">
      <c r="A28" s="6">
        <v>25</v>
      </c>
      <c r="B28" s="19" t="s">
        <v>42</v>
      </c>
      <c r="C28" s="19" t="s">
        <v>42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  <c r="O28" s="19"/>
      <c r="P28" s="19"/>
      <c r="Q28" s="19"/>
      <c r="R28" s="19"/>
      <c r="S28" s="19"/>
      <c r="T28" s="19"/>
    </row>
    <row r="29" spans="1:20" s="9" customFormat="1">
      <c r="A29" s="6">
        <v>26</v>
      </c>
      <c r="B29" s="19" t="s">
        <v>42</v>
      </c>
      <c r="C29" s="19" t="s">
        <v>42</v>
      </c>
      <c r="D29" s="19"/>
      <c r="E29" s="19"/>
      <c r="F29" s="19"/>
      <c r="G29" s="20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s="9" customFormat="1">
      <c r="A30" s="6">
        <v>27</v>
      </c>
      <c r="B30" s="19" t="s">
        <v>42</v>
      </c>
      <c r="C30" s="19" t="s">
        <v>42</v>
      </c>
      <c r="D30" s="19"/>
      <c r="E30" s="19"/>
      <c r="F30" s="2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s="9" customFormat="1">
      <c r="A31" s="6">
        <v>28</v>
      </c>
      <c r="B31" s="19" t="s">
        <v>42</v>
      </c>
      <c r="C31" s="19" t="s">
        <v>42</v>
      </c>
      <c r="D31" s="19"/>
      <c r="E31" s="19"/>
      <c r="F31" s="20"/>
      <c r="G31" s="19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s="9" customFormat="1">
      <c r="A32" s="6">
        <v>29</v>
      </c>
      <c r="B32" s="19" t="s">
        <v>42</v>
      </c>
      <c r="C32" s="19" t="s">
        <v>42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s="9" customFormat="1">
      <c r="A33" s="6">
        <v>30</v>
      </c>
      <c r="B33" s="19" t="s">
        <v>42</v>
      </c>
      <c r="C33" s="19" t="s">
        <v>42</v>
      </c>
      <c r="D33" s="19"/>
      <c r="E33" s="19"/>
      <c r="F33" s="19"/>
      <c r="G33" s="20"/>
      <c r="H33" s="19"/>
      <c r="I33" s="19"/>
      <c r="J33" s="19"/>
      <c r="K33" s="19"/>
      <c r="L33" s="20"/>
      <c r="M33" s="19"/>
      <c r="N33" s="19"/>
      <c r="O33" s="19"/>
      <c r="P33" s="19"/>
      <c r="Q33" s="19"/>
      <c r="R33" s="19"/>
      <c r="S33" s="19"/>
      <c r="T33" s="19"/>
    </row>
    <row r="34" spans="1:20" s="9" customFormat="1">
      <c r="A34" s="6">
        <v>31</v>
      </c>
      <c r="B34" s="19" t="s">
        <v>42</v>
      </c>
      <c r="C34" s="19" t="s">
        <v>42</v>
      </c>
      <c r="D34" s="19"/>
      <c r="E34" s="19"/>
      <c r="F34" s="19"/>
      <c r="G34" s="20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>
      <c r="A35" s="2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1:20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</sheetData>
  <mergeCells count="19">
    <mergeCell ref="S2:S3"/>
    <mergeCell ref="T2:T3"/>
    <mergeCell ref="L2:L3"/>
    <mergeCell ref="M2:M3"/>
    <mergeCell ref="N2:N3"/>
    <mergeCell ref="O2:O3"/>
    <mergeCell ref="P2:P3"/>
    <mergeCell ref="Q2:Q3"/>
    <mergeCell ref="B1:D1"/>
    <mergeCell ref="E1:J1"/>
    <mergeCell ref="K1:L1"/>
    <mergeCell ref="M1:R1"/>
    <mergeCell ref="B2:D2"/>
    <mergeCell ref="E2:G2"/>
    <mergeCell ref="H2:H3"/>
    <mergeCell ref="I2:I3"/>
    <mergeCell ref="J2:J3"/>
    <mergeCell ref="K2:K3"/>
    <mergeCell ref="R2:R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支出明细</vt:lpstr>
      <vt:lpstr>项目明细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2024-12-01T16:16:16Z</dcterms:created>
  <dcterms:modified xsi:type="dcterms:W3CDTF">2025-05-23T16:14:14Z</dcterms:modified>
</cp:coreProperties>
</file>